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_Tracker" sheetId="1" r:id="rId5"/>
    <sheet state="visible" name="Timeline" sheetId="2" r:id="rId6"/>
    <sheet state="visible" name="Rules" sheetId="3" r:id="rId7"/>
    <sheet state="visible" name="RAID_Log" sheetId="4" r:id="rId8"/>
  </sheets>
  <definedNames>
    <definedName hidden="1" localSheetId="3" name="_xlnm._FilterDatabase">RAID_Log!$A$1:$Z$2</definedName>
  </definedNames>
  <calcPr/>
</workbook>
</file>

<file path=xl/sharedStrings.xml><?xml version="1.0" encoding="utf-8"?>
<sst xmlns="http://schemas.openxmlformats.org/spreadsheetml/2006/main" count="188" uniqueCount="102">
  <si>
    <t>Workstream</t>
  </si>
  <si>
    <t>Task ID</t>
  </si>
  <si>
    <t>Task</t>
  </si>
  <si>
    <t>Phase</t>
  </si>
  <si>
    <t>Owner</t>
  </si>
  <si>
    <t>Priority</t>
  </si>
  <si>
    <t>Due Date</t>
  </si>
  <si>
    <t>Dependency</t>
  </si>
  <si>
    <t>Status</t>
  </si>
  <si>
    <t>Risk</t>
  </si>
  <si>
    <t>Notes</t>
  </si>
  <si>
    <t>Next_Due_Date</t>
  </si>
  <si>
    <t>Last_Auto_Update</t>
  </si>
  <si>
    <t>Review</t>
  </si>
  <si>
    <t>In Progress</t>
  </si>
  <si>
    <t>Pilot deployment delayed pending SSO validation</t>
  </si>
  <si>
    <t>Awaiting phishing simulation approval</t>
  </si>
  <si>
    <t>Blocked</t>
  </si>
  <si>
    <t>LMS content configuration required before launch</t>
  </si>
  <si>
    <t>Department completion reporting in pilot phase</t>
  </si>
  <si>
    <t>Low</t>
  </si>
  <si>
    <t>supportive, not mission-critical</t>
  </si>
  <si>
    <t>optimization task</t>
  </si>
  <si>
    <t>Executive approval required prior to launch</t>
  </si>
  <si>
    <t>monitoring function</t>
  </si>
  <si>
    <t>diagnostic work</t>
  </si>
  <si>
    <t>Manager training completion required before launch</t>
  </si>
  <si>
    <t>helpful but non-blocking</t>
  </si>
  <si>
    <t>change management support</t>
  </si>
  <si>
    <t>refinement</t>
  </si>
  <si>
    <t>Executive template under stakeholder review</t>
  </si>
  <si>
    <t>ongoing reporting rather than delivery-critical</t>
  </si>
  <si>
    <t>A</t>
  </si>
  <si>
    <t>B</t>
  </si>
  <si>
    <t>C</t>
  </si>
  <si>
    <t>D</t>
  </si>
  <si>
    <t>E</t>
  </si>
  <si>
    <t>F</t>
  </si>
  <si>
    <t>G</t>
  </si>
  <si>
    <t>H</t>
  </si>
  <si>
    <t>Archived Formula Logic</t>
  </si>
  <si>
    <t>Start Date</t>
  </si>
  <si>
    <t>End Date</t>
  </si>
  <si>
    <t>ToDo Days</t>
  </si>
  <si>
    <t>InProgress Days</t>
  </si>
  <si>
    <t>Review Days</t>
  </si>
  <si>
    <t>Blocked Days</t>
  </si>
  <si>
    <t>Auto_Update</t>
  </si>
  <si>
    <t>Planning &amp; Pilot</t>
  </si>
  <si>
    <t>D2="Planning &amp; Pilot",DATE(2026,6,1)+RANDBETWEEN(0,27),</t>
  </si>
  <si>
    <t>Rollout &amp; Adoption</t>
  </si>
  <si>
    <t>D2="Rollout &amp; Adoption",DATE(2026,6,29)+RANDBETWEEN(0,83),</t>
  </si>
  <si>
    <t>Stabilization &amp; Reporting</t>
  </si>
  <si>
    <t>D2="Stabilization &amp; Reporting",DATE(2026,9,21)+RANDBETWEEN(0,55)</t>
  </si>
  <si>
    <t>)</t>
  </si>
  <si>
    <t>RAID ID</t>
  </si>
  <si>
    <t>Type</t>
  </si>
  <si>
    <t>Description</t>
  </si>
  <si>
    <t>Impact</t>
  </si>
  <si>
    <t>Probability</t>
  </si>
  <si>
    <t>Action</t>
  </si>
  <si>
    <t>MFA pilot deployment delay due to unresolved prerequisite tasks (SEC-002, SEC-005)</t>
  </si>
  <si>
    <t>High</t>
  </si>
  <si>
    <t>Medium</t>
  </si>
  <si>
    <t>IT Security Team</t>
  </si>
  <si>
    <t>Complete SSO validation and finalize MFA environment configuration before deployment</t>
  </si>
  <si>
    <t>Open</t>
  </si>
  <si>
    <t>LMS configuration delay may impact phishing-awareness rollout timeline (SEC-013, SEC-015)</t>
  </si>
  <si>
    <t>HR &amp; Training Team</t>
  </si>
  <si>
    <t>Finalize LMS setup and validate training content before launch</t>
  </si>
  <si>
    <t>Executive approval delay may postpone policy attestation campaign (SEC-025)</t>
  </si>
  <si>
    <t>PMO / Governance Support</t>
  </si>
  <si>
    <t>Secure stakeholder review and executive sign-off prior to launch</t>
  </si>
  <si>
    <t>Monitoring</t>
  </si>
  <si>
    <t>Low employee participation may reduce effectiveness of phishing training programme</t>
  </si>
  <si>
    <t>Implement reminder communications and manager escalation support</t>
  </si>
  <si>
    <t>Resistance to MFA adoption may reduce rollout effectiveness</t>
  </si>
  <si>
    <t>Security Transformation Lead</t>
  </si>
  <si>
    <t>Develop communications strategy and user support materials</t>
  </si>
  <si>
    <t>Assumption</t>
  </si>
  <si>
    <t>Existing cybersecurity policies can be revised without major regulatory conflict</t>
  </si>
  <si>
    <t>Validate compliance assumptions during policy review</t>
  </si>
  <si>
    <t>Mitigated</t>
  </si>
  <si>
    <t>Department managers will support escalation and training enforcement</t>
  </si>
  <si>
    <t>Department Managers</t>
  </si>
  <si>
    <t>Confirm stakeholder participation expectations during rollout</t>
  </si>
  <si>
    <t>Existing reporting systems can support new reporting cadence</t>
  </si>
  <si>
    <t>Validate reporting templates during pilot reporting cycle</t>
  </si>
  <si>
    <t>Issue</t>
  </si>
  <si>
    <t>MFA pilot deployment currently blocked pending prerequisite completion (SEC-006)</t>
  </si>
  <si>
    <t>Resolve SEC-002 and SEC-005 dependencies</t>
  </si>
  <si>
    <t>Mandatory employee training launch blocked by incomplete LMS readiness (SEC-016)</t>
  </si>
  <si>
    <t>Finalize SEC-013 and SEC-015 deliverables</t>
  </si>
  <si>
    <t>Updated reporting process blocked pending manager escalation training (SEC-032)</t>
  </si>
  <si>
    <t>Complete manager training and reporting templates</t>
  </si>
  <si>
    <t>Organization-wide MFA rollout dependent on pilot adoption success metrics (SEC-008, SEC-009)</t>
  </si>
  <si>
    <t>Validate pilot results before enterprise rollout</t>
  </si>
  <si>
    <t>Initial cybersecurity policy baseline assessment completed (SEC-021)</t>
  </si>
  <si>
    <t>No further action required; incorporated into policy revision workstream</t>
  </si>
  <si>
    <t>Closed</t>
  </si>
  <si>
    <t>Security training content assessment completed to support awareness programme rollout (SEC-011)</t>
  </si>
  <si>
    <t>Transition outputs into phishing-awareness module development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</si>
</sst>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mm/dd/yyyy"/>
    <numFmt numFmtId="166" formatCode="m/d/yy"/>
    <numFmt numFmtId="167" formatCode="m/d/yyyy"/>
  </numFmts>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right" readingOrder="0"/>
    </xf>
    <xf borderId="0" fillId="0" fontId="2" numFmtId="0" xfId="0" applyAlignment="1" applyFont="1">
      <alignment readingOrder="0"/>
    </xf>
    <xf borderId="0" fillId="0" fontId="2" numFmtId="0" xfId="0" applyAlignment="1" applyFont="1">
      <alignment horizontal="right" readingOrder="0"/>
    </xf>
    <xf borderId="0" fillId="0" fontId="2" numFmtId="0" xfId="0" applyFont="1"/>
    <xf borderId="0" fillId="0" fontId="2" numFmtId="164" xfId="0" applyFont="1" applyNumberFormat="1"/>
    <xf borderId="0" fillId="0" fontId="2" numFmtId="165" xfId="0" applyAlignment="1" applyFont="1" applyNumberFormat="1">
      <alignment readingOrder="0"/>
    </xf>
    <xf borderId="0" fillId="0" fontId="1" numFmtId="0" xfId="0" applyAlignment="1" applyFont="1">
      <alignment readingOrder="0"/>
    </xf>
    <xf borderId="0" fillId="0" fontId="2" numFmtId="166" xfId="0" applyAlignment="1" applyFont="1" applyNumberFormat="1">
      <alignment readingOrder="0"/>
    </xf>
    <xf borderId="0" fillId="0" fontId="2" numFmtId="167" xfId="0" applyAlignment="1" applyFont="1" applyNumberFormat="1">
      <alignment readingOrder="0"/>
    </xf>
    <xf borderId="0" fillId="0" fontId="1" numFmtId="0" xfId="0" applyAlignment="1" applyFont="1">
      <alignment horizontal="center" readingOrder="0" shrinkToFit="0" wrapText="1"/>
    </xf>
    <xf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5">
    <dxf>
      <font/>
      <fill>
        <patternFill patternType="solid">
          <fgColor theme="7"/>
          <bgColor theme="7"/>
        </patternFill>
      </fill>
      <border/>
    </dxf>
    <dxf>
      <font/>
      <fill>
        <patternFill patternType="solid">
          <fgColor theme="4"/>
          <bgColor theme="4"/>
        </patternFill>
      </fill>
      <border/>
    </dxf>
    <dxf>
      <font/>
      <fill>
        <patternFill patternType="solid">
          <fgColor theme="6"/>
          <bgColor theme="6"/>
        </patternFill>
      </fill>
      <border/>
    </dxf>
    <dxf>
      <font/>
      <fill>
        <patternFill patternType="solid">
          <fgColor theme="5"/>
          <bgColor theme="5"/>
        </patternFill>
      </fill>
      <border/>
    </dxf>
    <dxf>
      <font/>
      <fill>
        <patternFill patternType="solid">
          <fgColor rgb="FFEFEFEF"/>
          <bgColor rgb="FFEFEFE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13"/>
    <col customWidth="1" min="3" max="3" width="37.88"/>
    <col customWidth="1" min="4" max="4" width="19.88"/>
    <col customWidth="1" min="5" max="5" width="28.0"/>
    <col customWidth="1" min="8" max="8" width="25.5"/>
    <col customWidth="1" min="11" max="11" width="38.13"/>
    <col customWidth="1" min="12" max="12" width="18.25"/>
    <col customWidth="1" min="13" max="14" width="21.0"/>
    <col customWidth="1" min="15" max="15" width="18.25"/>
  </cols>
  <sheetData>
    <row r="1">
      <c r="A1" s="1" t="s">
        <v>0</v>
      </c>
      <c r="B1" s="2" t="s">
        <v>1</v>
      </c>
      <c r="C1" s="1" t="s">
        <v>2</v>
      </c>
      <c r="D1" s="1" t="s">
        <v>3</v>
      </c>
      <c r="E1" s="1" t="s">
        <v>4</v>
      </c>
      <c r="F1" s="1" t="s">
        <v>5</v>
      </c>
      <c r="G1" s="1" t="s">
        <v>6</v>
      </c>
      <c r="H1" s="1" t="s">
        <v>7</v>
      </c>
      <c r="I1" s="1" t="s">
        <v>8</v>
      </c>
      <c r="J1" s="1" t="s">
        <v>9</v>
      </c>
      <c r="K1" s="1" t="s">
        <v>10</v>
      </c>
      <c r="L1" s="1" t="s">
        <v>11</v>
      </c>
      <c r="M1" s="1" t="s">
        <v>12</v>
      </c>
      <c r="N1" s="1"/>
      <c r="P1" s="1"/>
      <c r="Q1" s="1"/>
    </row>
    <row r="2">
      <c r="A2" s="3" t="str">
        <f t="shared" ref="A2:A45" si="1">IFS(
VALUE(RIGHT(B2,3))&lt;=10,"Identity Security &amp; MFA Enablement",
VALUE(RIGHT(B2,3))&lt;=20,"Security Awareness &amp; Human Risk Reduction",
VALUE(RIGHT(B2,3))&lt;=26,"Policy Compliance &amp; Governance",
VALUE(RIGHT(B2,3))&lt;=32,"Incident Intake &amp; Escalation Modernization",
VALUE(RIGHT(B2,3))&lt;=38,"Stakeholder Engagement &amp; Change Management",
VALUE(RIGHT(B2,3))&lt;=44,"Program Reporting &amp; Delivery Governance"
)</f>
        <v>Identity Security &amp; MFA Enablement</v>
      </c>
      <c r="B2" s="4" t="str">
        <f t="shared" ref="B2:B45" si="2">"SEC-"&amp;TEXT(ROW()-1,"000")</f>
        <v>SEC-001</v>
      </c>
      <c r="C2" s="3" t="str">
        <f t="shared" ref="C2:C45" si="3">SWITCH(
VALUE(RIGHT(B2,3)),
1,"Identify MFA pilot user group",
2,"Validate SSO compatibility",
3,"Define MFA exception process",
4,"Draft employee MFA communications",
5,"Configure MFA pilot environment",
6,"Launch MFA pilot deployment",
7,"Resolve pilot user issues",
8,"Evaluate pilot adoption metrics",
9,"Prepare phased enterprise rollout",
10,"Launch organization-wide MFA deployment",
11,"Assess existing security training content",
12,"Select phishing-awareness training modules",
13,"Configure LMS training content",
14,"Design phishing simulation campaign",
15,"Pilot phishing-awareness training",
16,"Launch mandatory employee training",
17,"Monitor completion rates by department",
18,"Send training reminder communications",
19,"Evaluate phishing simulation results",
20,"Recommend targeted retraining groups",
21,"Review existing cybersecurity policies",
22,"Update acceptable-use policy",
23,"Revise password and credential standards",
24,"Configure employee acknowledgment workflow",
25,"Launch policy attestation campaign",
26,"Monitor policy completion compliance",
27,"Document current incident reporting workflow",
28,"Identify reporting bottlenecks",
29,"Design revised escalation process",
30,"Develop incident reporting templates",
31,"Train managers on escalation procedures",
32,"Launch updated reporting process",
33,"Identify stakeholder groups",
34,"Develop communication strategy",
35,"Draft executive kickoff briefing",
36,"Publish employee FAQ document",
37,"Conduct biweekly stakeholder reviews",
38,"Coordinate adoption feedback sessions",
39,"Establish weekly reporting cadence",
40,"Build RAID log template",
41,"Create executive status report template",
42,"Establish milestone tracking framework",
43,"Conduct weekly program status review",
44,"Compile monthly executive updates"
)</f>
        <v>Identify MFA pilot user group</v>
      </c>
      <c r="D2" s="5" t="str">
        <f t="shared" ref="D2:D45" si="4">IFS(
VALUE(RIGHT(B2,3))&lt;=5,"Planning &amp; Pilot",
AND(VALUE(RIGHT(B2,3))&gt;=11,VALUE(RIGHT(B2,3))&lt;=15),"Planning &amp; Pilot",
AND(VALUE(RIGHT(B2,3))&gt;=21,VALUE(RIGHT(B2,3))&lt;=24),"Planning &amp; Pilot",
AND(VALUE(RIGHT(B2,3))&gt;=27,VALUE(RIGHT(B2,3))&lt;=30),"Planning &amp; Pilot",
AND(VALUE(RIGHT(B2,3))&gt;=33,VALUE(RIGHT(B2,3))&lt;=35),"Planning &amp; Pilot",
AND(VALUE(RIGHT(B2,3))&gt;=39,VALUE(RIGHT(B2,3))&lt;=42),"Planning &amp; Pilot",
AND(VALUE(RIGHT(B2,3))&gt;=6,VALUE(RIGHT(B2,3))&lt;=10),"Rollout &amp; Adoption",
AND(VALUE(RIGHT(B2,3))&gt;=16,VALUE(RIGHT(B2,3))&lt;=20),"Rollout &amp; Adoption",
AND(VALUE(RIGHT(B2,3))&gt;=25,VALUE(RIGHT(B2,3))&lt;=26),"Rollout &amp; Adoption",
AND(VALUE(RIGHT(B2,3))&gt;=31,VALUE(RIGHT(B2,3))&lt;=32),"Rollout &amp; Adoption",
AND(VALUE(RIGHT(B2,3))&gt;=36,VALUE(RIGHT(B2,3))&lt;=38),"Rollout &amp; Adoption",
VALUE(RIGHT(B2,3))=43,"Rollout &amp; Adoption",
VALUE(RIGHT(B2,3))=44,"Stabilization &amp; Reporting"
)</f>
        <v>Planning &amp; Pilot</v>
      </c>
      <c r="E2" s="5" t="str">
        <f>IFERROR(VLOOKUP(B2,Rules!A:F,2,FALSE),"")</f>
        <v>IT Security Team</v>
      </c>
      <c r="F2" s="5" t="str">
        <f>IFERROR(VLOOKUP(B2,Rules!A:F,3,FALSE),"")</f>
        <v>High</v>
      </c>
      <c r="G2" s="6">
        <v>46200.0</v>
      </c>
      <c r="H2" s="5" t="str">
        <f>IFERROR(VLOOKUP(B2,Rules!A:F,6,FALSE),"")</f>
        <v/>
      </c>
      <c r="I2" s="5" t="str">
        <f>IFERROR(VLOOKUP(B2,Rules!A:F,4,FALSE),"")</f>
        <v>Done</v>
      </c>
      <c r="J2" s="5" t="str">
        <f>IFERROR(VLOOKUP(B2,Rules!A:F,5,FALSE),"")</f>
        <v>Medium</v>
      </c>
      <c r="L2" s="6">
        <f t="array" ref="L2">IF(
I2="Done",
G2,
IF(
G2&lt;TODAY(),
TODAY()+
SWITCH(
I2,
"To Do", XLOOKUP(D2, Timeline!A:A, Timeline!D:D),
"In Progress", XLOOKUP(D2, Timeline!A:A, Timeline!E:E),
"Review", XLOOKUP(D2, Timeline!A:A, Timeline!F:F),
"Blocked", XLOOKUP(D2, Timeline!A:A, Timeline!G:G),
7
),
G2
)
)</f>
        <v>46200</v>
      </c>
      <c r="M2" s="3"/>
      <c r="N2" s="3"/>
    </row>
    <row r="3">
      <c r="A3" s="3" t="str">
        <f t="shared" si="1"/>
        <v>Identity Security &amp; MFA Enablement</v>
      </c>
      <c r="B3" s="4" t="str">
        <f t="shared" si="2"/>
        <v>SEC-002</v>
      </c>
      <c r="C3" s="3" t="str">
        <f t="shared" si="3"/>
        <v>Validate SSO compatibility</v>
      </c>
      <c r="D3" s="5" t="str">
        <f t="shared" si="4"/>
        <v>Planning &amp; Pilot</v>
      </c>
      <c r="E3" s="5" t="str">
        <f>IFERROR(VLOOKUP(B3,Rules!A:F,2,FALSE),"")</f>
        <v>IT Security Team</v>
      </c>
      <c r="F3" s="5" t="str">
        <f>IFERROR(VLOOKUP(B3,Rules!A:F,3,FALSE),"")</f>
        <v>High</v>
      </c>
      <c r="G3" s="6">
        <v>46177.0</v>
      </c>
      <c r="H3" s="5" t="str">
        <f>IFERROR(VLOOKUP(B3,Rules!A:F,6,FALSE),"")</f>
        <v/>
      </c>
      <c r="I3" s="5" t="str">
        <f>IFERROR(VLOOKUP(B3,Rules!A:F,4,FALSE),"")</f>
        <v>Done</v>
      </c>
      <c r="J3" s="5" t="str">
        <f>IFERROR(VLOOKUP(B3,Rules!A:F,5,FALSE),"")</f>
        <v>Medium</v>
      </c>
      <c r="L3" s="6">
        <f t="array" ref="L3">IF(
I3="Done",
G3,
IF(
G3&lt;TODAY(),
TODAY()+
SWITCH(
I3,
"To Do", XLOOKUP(D3, Timeline!A:A, Timeline!D:D),
"In Progress", XLOOKUP(D3, Timeline!A:A, Timeline!E:E),
"Review", XLOOKUP(D3, Timeline!A:A, Timeline!F:F),
"Blocked", XLOOKUP(D3, Timeline!A:A, Timeline!G:G),
7
),
G3
)
)</f>
        <v>46177</v>
      </c>
      <c r="M3" s="3"/>
      <c r="N3" s="3"/>
    </row>
    <row r="4">
      <c r="A4" s="3" t="str">
        <f t="shared" si="1"/>
        <v>Identity Security &amp; MFA Enablement</v>
      </c>
      <c r="B4" s="4" t="str">
        <f t="shared" si="2"/>
        <v>SEC-003</v>
      </c>
      <c r="C4" s="3" t="str">
        <f t="shared" si="3"/>
        <v>Define MFA exception process</v>
      </c>
      <c r="D4" s="5" t="str">
        <f t="shared" si="4"/>
        <v>Planning &amp; Pilot</v>
      </c>
      <c r="E4" s="5" t="str">
        <f>IFERROR(VLOOKUP(B4,Rules!A:F,2,FALSE),"")</f>
        <v>IT Security Team</v>
      </c>
      <c r="F4" s="5" t="str">
        <f>IFERROR(VLOOKUP(B4,Rules!A:F,3,FALSE),"")</f>
        <v>High</v>
      </c>
      <c r="G4" s="6">
        <v>46174.0</v>
      </c>
      <c r="H4" s="5" t="str">
        <f>IFERROR(VLOOKUP(B4,Rules!A:F,6,FALSE),"")</f>
        <v/>
      </c>
      <c r="I4" s="3" t="s">
        <v>13</v>
      </c>
      <c r="J4" s="5" t="str">
        <f>IFERROR(VLOOKUP(B4,Rules!A:F,5,FALSE),"")</f>
        <v>Medium</v>
      </c>
      <c r="L4" s="6">
        <f t="array" ref="L4">IF(
I4="Done",
G4,
IF(
G4&lt;TODAY(),
TODAY()+
SWITCH(
I4,
"To Do", XLOOKUP(D4, Timeline!A:A, Timeline!D:D),
"In Progress", XLOOKUP(D4, Timeline!A:A, Timeline!E:E),
"Review", XLOOKUP(D4, Timeline!A:A, Timeline!F:F),
"Blocked", XLOOKUP(D4, Timeline!A:A, Timeline!G:G),
7
),
G4
)
)</f>
        <v>46174</v>
      </c>
      <c r="M4" s="3"/>
      <c r="N4" s="3"/>
    </row>
    <row r="5">
      <c r="A5" s="3" t="str">
        <f t="shared" si="1"/>
        <v>Identity Security &amp; MFA Enablement</v>
      </c>
      <c r="B5" s="4" t="str">
        <f t="shared" si="2"/>
        <v>SEC-004</v>
      </c>
      <c r="C5" s="3" t="str">
        <f t="shared" si="3"/>
        <v>Draft employee MFA communications</v>
      </c>
      <c r="D5" s="5" t="str">
        <f t="shared" si="4"/>
        <v>Planning &amp; Pilot</v>
      </c>
      <c r="E5" s="5" t="str">
        <f>IFERROR(VLOOKUP(B5,Rules!A:F,2,FALSE),"")</f>
        <v>PMO / Governance Support</v>
      </c>
      <c r="F5" s="5" t="str">
        <f>IFERROR(VLOOKUP(B5,Rules!A:F,3,FALSE),"")</f>
        <v>High</v>
      </c>
      <c r="G5" s="6">
        <v>46180.0</v>
      </c>
      <c r="H5" s="5" t="str">
        <f>IFERROR(VLOOKUP(B5,Rules!A:F,6,FALSE),"")</f>
        <v/>
      </c>
      <c r="I5" s="5" t="str">
        <f>IFERROR(VLOOKUP(B5,Rules!A:F,4,FALSE),"")</f>
        <v>In Progress</v>
      </c>
      <c r="J5" s="5" t="str">
        <f>IFERROR(VLOOKUP(B5,Rules!A:F,5,FALSE),"")</f>
        <v>Medium</v>
      </c>
      <c r="L5" s="6">
        <f t="array" ref="L5">IF(
I5="Done",
G5,
IF(
G5&lt;TODAY(),
TODAY()+
SWITCH(
I5,
"To Do", XLOOKUP(D5, Timeline!A:A, Timeline!D:D),
"In Progress", XLOOKUP(D5, Timeline!A:A, Timeline!E:E),
"Review", XLOOKUP(D5, Timeline!A:A, Timeline!F:F),
"Blocked", XLOOKUP(D5, Timeline!A:A, Timeline!G:G),
7
),
G5
)
)</f>
        <v>46180</v>
      </c>
      <c r="M5" s="3"/>
      <c r="N5" s="3"/>
    </row>
    <row r="6">
      <c r="A6" s="3" t="str">
        <f t="shared" si="1"/>
        <v>Identity Security &amp; MFA Enablement</v>
      </c>
      <c r="B6" s="4" t="str">
        <f t="shared" si="2"/>
        <v>SEC-005</v>
      </c>
      <c r="C6" s="3" t="str">
        <f t="shared" si="3"/>
        <v>Configure MFA pilot environment</v>
      </c>
      <c r="D6" s="5" t="str">
        <f t="shared" si="4"/>
        <v>Planning &amp; Pilot</v>
      </c>
      <c r="E6" s="5" t="str">
        <f>IFERROR(VLOOKUP(B6,Rules!A:F,2,FALSE),"")</f>
        <v>IT Security Team</v>
      </c>
      <c r="F6" s="5" t="str">
        <f>IFERROR(VLOOKUP(B6,Rules!A:F,3,FALSE),"")</f>
        <v>High</v>
      </c>
      <c r="G6" s="6">
        <v>46184.0</v>
      </c>
      <c r="H6" s="5" t="str">
        <f>IFERROR(VLOOKUP(B6,Rules!A:F,6,FALSE),"")</f>
        <v/>
      </c>
      <c r="I6" s="3" t="s">
        <v>14</v>
      </c>
      <c r="J6" s="5" t="str">
        <f>IFERROR(VLOOKUP(B6,Rules!A:F,5,FALSE),"")</f>
        <v>Medium</v>
      </c>
      <c r="K6" s="3" t="s">
        <v>15</v>
      </c>
      <c r="L6" s="6">
        <f t="array" ref="L6">IF(
I6="Done",
G6,
IF(
G6&lt;TODAY(),
TODAY()+
SWITCH(
I6,
"To Do", XLOOKUP(D6, Timeline!A:A, Timeline!D:D),
"In Progress", XLOOKUP(D6, Timeline!A:A, Timeline!E:E),
"Review", XLOOKUP(D6, Timeline!A:A, Timeline!F:F),
"Blocked", XLOOKUP(D6, Timeline!A:A, Timeline!G:G),
7
),
G6
)
)</f>
        <v>46184</v>
      </c>
      <c r="M6" s="3"/>
      <c r="N6" s="3"/>
    </row>
    <row r="7">
      <c r="A7" s="3" t="str">
        <f t="shared" si="1"/>
        <v>Identity Security &amp; MFA Enablement</v>
      </c>
      <c r="B7" s="4" t="str">
        <f t="shared" si="2"/>
        <v>SEC-006</v>
      </c>
      <c r="C7" s="3" t="str">
        <f t="shared" si="3"/>
        <v>Launch MFA pilot deployment</v>
      </c>
      <c r="D7" s="5" t="str">
        <f t="shared" si="4"/>
        <v>Rollout &amp; Adoption</v>
      </c>
      <c r="E7" s="5" t="str">
        <f>IFERROR(VLOOKUP(B7,Rules!A:F,2,FALSE),"")</f>
        <v>IT Security Team</v>
      </c>
      <c r="F7" s="5" t="str">
        <f>IFERROR(VLOOKUP(B7,Rules!A:F,3,FALSE),"")</f>
        <v>High</v>
      </c>
      <c r="G7" s="6">
        <v>46209.0</v>
      </c>
      <c r="H7" s="5" t="str">
        <f>IFERROR(VLOOKUP(B7,Rules!A:F,6,FALSE),"")</f>
        <v>SEC-002, SEC-005</v>
      </c>
      <c r="I7" s="5" t="str">
        <f>IFERROR(VLOOKUP(B7,Rules!A:F,4,FALSE),"")</f>
        <v>Blocked</v>
      </c>
      <c r="J7" s="5" t="str">
        <f>IFERROR(VLOOKUP(B7,Rules!A:F,5,FALSE),"")</f>
        <v>High</v>
      </c>
      <c r="L7" s="6">
        <f t="array" ref="L7">IF(
I7="Done",
G7,
IF(
G7&lt;TODAY(),
TODAY()+
SWITCH(
I7,
"To Do", XLOOKUP(D7, Timeline!A:A, Timeline!D:D),
"In Progress", XLOOKUP(D7, Timeline!A:A, Timeline!E:E),
"Review", XLOOKUP(D7, Timeline!A:A, Timeline!F:F),
"Blocked", XLOOKUP(D7, Timeline!A:A, Timeline!G:G),
7
),
G7
)
)</f>
        <v>46209</v>
      </c>
      <c r="M7" s="3"/>
      <c r="N7" s="3"/>
    </row>
    <row r="8">
      <c r="A8" s="3" t="str">
        <f t="shared" si="1"/>
        <v>Identity Security &amp; MFA Enablement</v>
      </c>
      <c r="B8" s="4" t="str">
        <f t="shared" si="2"/>
        <v>SEC-007</v>
      </c>
      <c r="C8" s="3" t="str">
        <f t="shared" si="3"/>
        <v>Resolve pilot user issues</v>
      </c>
      <c r="D8" s="5" t="str">
        <f t="shared" si="4"/>
        <v>Rollout &amp; Adoption</v>
      </c>
      <c r="E8" s="5" t="str">
        <f>IFERROR(VLOOKUP(B8,Rules!A:F,2,FALSE),"")</f>
        <v>Help Desk Lead</v>
      </c>
      <c r="F8" s="5" t="str">
        <f>IFERROR(VLOOKUP(B8,Rules!A:F,3,FALSE),"")</f>
        <v>High</v>
      </c>
      <c r="G8" s="6">
        <v>46269.0</v>
      </c>
      <c r="H8" s="5" t="str">
        <f>IFERROR(VLOOKUP(B8,Rules!A:F,6,FALSE),"")</f>
        <v>SEC-006</v>
      </c>
      <c r="I8" s="5" t="str">
        <f>IFERROR(VLOOKUP(B8,Rules!A:F,4,FALSE),"")</f>
        <v>To Do</v>
      </c>
      <c r="J8" s="5" t="str">
        <f>IFERROR(VLOOKUP(B8,Rules!A:F,5,FALSE),"")</f>
        <v>Medium</v>
      </c>
      <c r="L8" s="6">
        <f t="array" ref="L8">IF(
I8="Done",
G8,
IF(
G8&lt;TODAY(),
TODAY()+
SWITCH(
I8,
"To Do", XLOOKUP(D8, Timeline!A:A, Timeline!D:D),
"In Progress", XLOOKUP(D8, Timeline!A:A, Timeline!E:E),
"Review", XLOOKUP(D8, Timeline!A:A, Timeline!F:F),
"Blocked", XLOOKUP(D8, Timeline!A:A, Timeline!G:G),
7
),
G8
)
)</f>
        <v>46269</v>
      </c>
      <c r="M8" s="3"/>
      <c r="N8" s="3"/>
    </row>
    <row r="9">
      <c r="A9" s="3" t="str">
        <f t="shared" si="1"/>
        <v>Identity Security &amp; MFA Enablement</v>
      </c>
      <c r="B9" s="4" t="str">
        <f t="shared" si="2"/>
        <v>SEC-008</v>
      </c>
      <c r="C9" s="3" t="str">
        <f t="shared" si="3"/>
        <v>Evaluate pilot adoption metrics</v>
      </c>
      <c r="D9" s="5" t="str">
        <f t="shared" si="4"/>
        <v>Rollout &amp; Adoption</v>
      </c>
      <c r="E9" s="5" t="str">
        <f>IFERROR(VLOOKUP(B9,Rules!A:F,2,FALSE),"")</f>
        <v>Security Transformation Lead</v>
      </c>
      <c r="F9" s="5" t="str">
        <f>IFERROR(VLOOKUP(B9,Rules!A:F,3,FALSE),"")</f>
        <v>High</v>
      </c>
      <c r="G9" s="6">
        <v>46213.0</v>
      </c>
      <c r="H9" s="5" t="str">
        <f>IFERROR(VLOOKUP(B9,Rules!A:F,6,FALSE),"")</f>
        <v>SEC-006</v>
      </c>
      <c r="I9" s="5" t="str">
        <f>IFERROR(VLOOKUP(B9,Rules!A:F,4,FALSE),"")</f>
        <v>To Do</v>
      </c>
      <c r="J9" s="5" t="str">
        <f>IFERROR(VLOOKUP(B9,Rules!A:F,5,FALSE),"")</f>
        <v>Medium</v>
      </c>
      <c r="L9" s="6">
        <f t="array" ref="L9">IF(
I9="Done",
G9,
IF(
G9&lt;TODAY(),
TODAY()+
SWITCH(
I9,
"To Do", XLOOKUP(D9, Timeline!A:A, Timeline!D:D),
"In Progress", XLOOKUP(D9, Timeline!A:A, Timeline!E:E),
"Review", XLOOKUP(D9, Timeline!A:A, Timeline!F:F),
"Blocked", XLOOKUP(D9, Timeline!A:A, Timeline!G:G),
7
),
G9
)
)</f>
        <v>46213</v>
      </c>
      <c r="M9" s="3"/>
      <c r="N9" s="3"/>
    </row>
    <row r="10">
      <c r="A10" s="3" t="str">
        <f t="shared" si="1"/>
        <v>Identity Security &amp; MFA Enablement</v>
      </c>
      <c r="B10" s="4" t="str">
        <f t="shared" si="2"/>
        <v>SEC-009</v>
      </c>
      <c r="C10" s="3" t="str">
        <f t="shared" si="3"/>
        <v>Prepare phased enterprise rollout</v>
      </c>
      <c r="D10" s="5" t="str">
        <f t="shared" si="4"/>
        <v>Rollout &amp; Adoption</v>
      </c>
      <c r="E10" s="5" t="str">
        <f>IFERROR(VLOOKUP(B10,Rules!A:F,2,FALSE),"")</f>
        <v>Security Transformation Lead</v>
      </c>
      <c r="F10" s="5" t="str">
        <f>IFERROR(VLOOKUP(B10,Rules!A:F,3,FALSE),"")</f>
        <v>High</v>
      </c>
      <c r="G10" s="6">
        <v>46257.0</v>
      </c>
      <c r="H10" s="5" t="str">
        <f>IFERROR(VLOOKUP(B10,Rules!A:F,6,FALSE),"")</f>
        <v>SEC-008</v>
      </c>
      <c r="I10" s="5" t="str">
        <f>IFERROR(VLOOKUP(B10,Rules!A:F,4,FALSE),"")</f>
        <v>To Do</v>
      </c>
      <c r="J10" s="5" t="str">
        <f>IFERROR(VLOOKUP(B10,Rules!A:F,5,FALSE),"")</f>
        <v>Medium</v>
      </c>
      <c r="L10" s="6">
        <f t="array" ref="L10">IF(
I10="Done",
G10,
IF(
G10&lt;TODAY(),
TODAY()+
SWITCH(
I10,
"To Do", XLOOKUP(D10, Timeline!A:A, Timeline!D:D),
"In Progress", XLOOKUP(D10, Timeline!A:A, Timeline!E:E),
"Review", XLOOKUP(D10, Timeline!A:A, Timeline!F:F),
"Blocked", XLOOKUP(D10, Timeline!A:A, Timeline!G:G),
7
),
G10
)
)</f>
        <v>46257</v>
      </c>
      <c r="M10" s="3"/>
      <c r="N10" s="3"/>
    </row>
    <row r="11">
      <c r="A11" s="3" t="str">
        <f t="shared" si="1"/>
        <v>Identity Security &amp; MFA Enablement</v>
      </c>
      <c r="B11" s="4" t="str">
        <f t="shared" si="2"/>
        <v>SEC-010</v>
      </c>
      <c r="C11" s="3" t="str">
        <f t="shared" si="3"/>
        <v>Launch organization-wide MFA deployment</v>
      </c>
      <c r="D11" s="5" t="str">
        <f t="shared" si="4"/>
        <v>Rollout &amp; Adoption</v>
      </c>
      <c r="E11" s="5" t="str">
        <f>IFERROR(VLOOKUP(B11,Rules!A:F,2,FALSE),"")</f>
        <v>Security Transformation Lead</v>
      </c>
      <c r="F11" s="5" t="str">
        <f>IFERROR(VLOOKUP(B11,Rules!A:F,3,FALSE),"")</f>
        <v>High</v>
      </c>
      <c r="G11" s="6">
        <v>46212.0</v>
      </c>
      <c r="H11" s="5" t="str">
        <f>IFERROR(VLOOKUP(B11,Rules!A:F,6,FALSE),"")</f>
        <v>SEC-008, SEC-009</v>
      </c>
      <c r="I11" s="5" t="str">
        <f>IFERROR(VLOOKUP(B11,Rules!A:F,4,FALSE),"")</f>
        <v>To Do</v>
      </c>
      <c r="J11" s="5" t="str">
        <f>IFERROR(VLOOKUP(B11,Rules!A:F,5,FALSE),"")</f>
        <v>Medium</v>
      </c>
      <c r="L11" s="6">
        <f t="array" ref="L11">IF(
I11="Done",
G11,
IF(
G11&lt;TODAY(),
TODAY()+
SWITCH(
I11,
"To Do", XLOOKUP(D11, Timeline!A:A, Timeline!D:D),
"In Progress", XLOOKUP(D11, Timeline!A:A, Timeline!E:E),
"Review", XLOOKUP(D11, Timeline!A:A, Timeline!F:F),
"Blocked", XLOOKUP(D11, Timeline!A:A, Timeline!G:G),
7
),
G11
)
)</f>
        <v>46212</v>
      </c>
      <c r="M11" s="3"/>
      <c r="N11" s="3"/>
    </row>
    <row r="12">
      <c r="A12" s="3" t="str">
        <f t="shared" si="1"/>
        <v>Security Awareness &amp; Human Risk Reduction</v>
      </c>
      <c r="B12" s="4" t="str">
        <f t="shared" si="2"/>
        <v>SEC-011</v>
      </c>
      <c r="C12" s="3" t="str">
        <f t="shared" si="3"/>
        <v>Assess existing security training content</v>
      </c>
      <c r="D12" s="5" t="str">
        <f t="shared" si="4"/>
        <v>Planning &amp; Pilot</v>
      </c>
      <c r="E12" s="5" t="str">
        <f>IFERROR(VLOOKUP(B12,Rules!A:F,2,FALSE),"")</f>
        <v>HR &amp; Training Team</v>
      </c>
      <c r="F12" s="5" t="str">
        <f>IFERROR(VLOOKUP(B12,Rules!A:F,3,FALSE),"")</f>
        <v>Medium</v>
      </c>
      <c r="G12" s="6">
        <v>46184.0</v>
      </c>
      <c r="H12" s="5" t="str">
        <f>IFERROR(VLOOKUP(B12,Rules!A:F,6,FALSE),"")</f>
        <v/>
      </c>
      <c r="I12" s="3" t="s">
        <v>14</v>
      </c>
      <c r="J12" s="5" t="str">
        <f>IFERROR(VLOOKUP(B12,Rules!A:F,5,FALSE),"")</f>
        <v>Medium</v>
      </c>
      <c r="L12" s="6">
        <f t="array" ref="L12">IF(
I12="Done",
G12,
IF(
G12&lt;TODAY(),
TODAY()+
SWITCH(
I12,
"To Do", XLOOKUP(D12, Timeline!A:A, Timeline!D:D),
"In Progress", XLOOKUP(D12, Timeline!A:A, Timeline!E:E),
"Review", XLOOKUP(D12, Timeline!A:A, Timeline!F:F),
"Blocked", XLOOKUP(D12, Timeline!A:A, Timeline!G:G),
7
),
G12
)
)</f>
        <v>46184</v>
      </c>
      <c r="M12" s="3"/>
      <c r="N12" s="3"/>
    </row>
    <row r="13">
      <c r="A13" s="3" t="str">
        <f t="shared" si="1"/>
        <v>Security Awareness &amp; Human Risk Reduction</v>
      </c>
      <c r="B13" s="4" t="str">
        <f t="shared" si="2"/>
        <v>SEC-012</v>
      </c>
      <c r="C13" s="3" t="str">
        <f t="shared" si="3"/>
        <v>Select phishing-awareness training modules</v>
      </c>
      <c r="D13" s="5" t="str">
        <f t="shared" si="4"/>
        <v>Planning &amp; Pilot</v>
      </c>
      <c r="E13" s="5" t="str">
        <f>IFERROR(VLOOKUP(B13,Rules!A:F,2,FALSE),"")</f>
        <v>HR &amp; Training Team</v>
      </c>
      <c r="F13" s="5" t="str">
        <f>IFERROR(VLOOKUP(B13,Rules!A:F,3,FALSE),"")</f>
        <v>Medium</v>
      </c>
      <c r="G13" s="6">
        <v>46197.0</v>
      </c>
      <c r="H13" s="5" t="str">
        <f>IFERROR(VLOOKUP(B13,Rules!A:F,6,FALSE),"")</f>
        <v/>
      </c>
      <c r="I13" s="5" t="str">
        <f>IFERROR(VLOOKUP(B13,Rules!A:F,4,FALSE),"")</f>
        <v>To Do</v>
      </c>
      <c r="J13" s="5" t="str">
        <f>IFERROR(VLOOKUP(B13,Rules!A:F,5,FALSE),"")</f>
        <v>Medium</v>
      </c>
      <c r="L13" s="6">
        <f t="array" ref="L13">IF(
I13="Done",
G13,
IF(
G13&lt;TODAY(),
TODAY()+
SWITCH(
I13,
"To Do", XLOOKUP(D13, Timeline!A:A, Timeline!D:D),
"In Progress", XLOOKUP(D13, Timeline!A:A, Timeline!E:E),
"Review", XLOOKUP(D13, Timeline!A:A, Timeline!F:F),
"Blocked", XLOOKUP(D13, Timeline!A:A, Timeline!G:G),
7
),
G13
)
)</f>
        <v>46197</v>
      </c>
      <c r="M13" s="3"/>
      <c r="N13" s="3"/>
    </row>
    <row r="14">
      <c r="A14" s="3" t="str">
        <f t="shared" si="1"/>
        <v>Security Awareness &amp; Human Risk Reduction</v>
      </c>
      <c r="B14" s="4" t="str">
        <f t="shared" si="2"/>
        <v>SEC-013</v>
      </c>
      <c r="C14" s="3" t="str">
        <f t="shared" si="3"/>
        <v>Configure LMS training content</v>
      </c>
      <c r="D14" s="5" t="str">
        <f t="shared" si="4"/>
        <v>Planning &amp; Pilot</v>
      </c>
      <c r="E14" s="5" t="str">
        <f>IFERROR(VLOOKUP(B14,Rules!A:F,2,FALSE),"")</f>
        <v>HR &amp; Training Team</v>
      </c>
      <c r="F14" s="5" t="str">
        <f>IFERROR(VLOOKUP(B14,Rules!A:F,3,FALSE),"")</f>
        <v>Medium</v>
      </c>
      <c r="G14" s="6">
        <v>46194.0</v>
      </c>
      <c r="H14" s="5" t="str">
        <f>IFERROR(VLOOKUP(B14,Rules!A:F,6,FALSE),"")</f>
        <v>SEC-012</v>
      </c>
      <c r="I14" s="5" t="str">
        <f>IFERROR(VLOOKUP(B14,Rules!A:F,4,FALSE),"")</f>
        <v>In Progress</v>
      </c>
      <c r="J14" s="5" t="str">
        <f>IFERROR(VLOOKUP(B14,Rules!A:F,5,FALSE),"")</f>
        <v>Medium</v>
      </c>
      <c r="L14" s="6">
        <f t="array" ref="L14">IF(
I14="Done",
G14,
IF(
G14&lt;TODAY(),
TODAY()+
SWITCH(
I14,
"To Do", XLOOKUP(D14, Timeline!A:A, Timeline!D:D),
"In Progress", XLOOKUP(D14, Timeline!A:A, Timeline!E:E),
"Review", XLOOKUP(D14, Timeline!A:A, Timeline!F:F),
"Blocked", XLOOKUP(D14, Timeline!A:A, Timeline!G:G),
7
),
G14
)
)</f>
        <v>46194</v>
      </c>
      <c r="M14" s="3"/>
      <c r="N14" s="3"/>
    </row>
    <row r="15">
      <c r="A15" s="3" t="str">
        <f t="shared" si="1"/>
        <v>Security Awareness &amp; Human Risk Reduction</v>
      </c>
      <c r="B15" s="4" t="str">
        <f t="shared" si="2"/>
        <v>SEC-014</v>
      </c>
      <c r="C15" s="3" t="str">
        <f t="shared" si="3"/>
        <v>Design phishing simulation campaign</v>
      </c>
      <c r="D15" s="5" t="str">
        <f t="shared" si="4"/>
        <v>Planning &amp; Pilot</v>
      </c>
      <c r="E15" s="5" t="str">
        <f>IFERROR(VLOOKUP(B15,Rules!A:F,2,FALSE),"")</f>
        <v>IT Security Team</v>
      </c>
      <c r="F15" s="5" t="str">
        <f>IFERROR(VLOOKUP(B15,Rules!A:F,3,FALSE),"")</f>
        <v>Medium</v>
      </c>
      <c r="G15" s="6">
        <v>46197.0</v>
      </c>
      <c r="H15" s="5" t="str">
        <f>IFERROR(VLOOKUP(B15,Rules!A:F,6,FALSE),"")</f>
        <v>SEC-012</v>
      </c>
      <c r="I15" s="5" t="str">
        <f>IFERROR(VLOOKUP(B15,Rules!A:F,4,FALSE),"")</f>
        <v>Review</v>
      </c>
      <c r="J15" s="5" t="str">
        <f>IFERROR(VLOOKUP(B15,Rules!A:F,5,FALSE),"")</f>
        <v>Medium</v>
      </c>
      <c r="K15" s="3" t="s">
        <v>16</v>
      </c>
      <c r="L15" s="6">
        <f t="array" ref="L15">IF(
I15="Done",
G15,
IF(
G15&lt;TODAY(),
TODAY()+
SWITCH(
I15,
"To Do", XLOOKUP(D15, Timeline!A:A, Timeline!D:D),
"In Progress", XLOOKUP(D15, Timeline!A:A, Timeline!E:E),
"Review", XLOOKUP(D15, Timeline!A:A, Timeline!F:F),
"Blocked", XLOOKUP(D15, Timeline!A:A, Timeline!G:G),
7
),
G15
)
)</f>
        <v>46197</v>
      </c>
      <c r="M15" s="3"/>
      <c r="N15" s="3"/>
    </row>
    <row r="16">
      <c r="A16" s="3" t="str">
        <f t="shared" si="1"/>
        <v>Security Awareness &amp; Human Risk Reduction</v>
      </c>
      <c r="B16" s="4" t="str">
        <f t="shared" si="2"/>
        <v>SEC-015</v>
      </c>
      <c r="C16" s="3" t="str">
        <f t="shared" si="3"/>
        <v>Pilot phishing-awareness training</v>
      </c>
      <c r="D16" s="5" t="str">
        <f t="shared" si="4"/>
        <v>Planning &amp; Pilot</v>
      </c>
      <c r="E16" s="5" t="str">
        <f>IFERROR(VLOOKUP(B16,Rules!A:F,2,FALSE),"")</f>
        <v>HR &amp; Training Team</v>
      </c>
      <c r="F16" s="5" t="str">
        <f>IFERROR(VLOOKUP(B16,Rules!A:F,3,FALSE),"")</f>
        <v>Medium</v>
      </c>
      <c r="G16" s="6">
        <v>46197.0</v>
      </c>
      <c r="H16" s="5" t="str">
        <f>IFERROR(VLOOKUP(B16,Rules!A:F,6,FALSE),"")</f>
        <v>SEC-013, SEC-014</v>
      </c>
      <c r="I16" s="3" t="s">
        <v>17</v>
      </c>
      <c r="J16" s="5" t="str">
        <f>IFERROR(VLOOKUP(B16,Rules!A:F,5,FALSE),"")</f>
        <v>Medium</v>
      </c>
      <c r="L16" s="6">
        <f t="array" ref="L16">IF(
I16="Done",
G16,
IF(
G16&lt;TODAY(),
TODAY()+
SWITCH(
I16,
"To Do", XLOOKUP(D16, Timeline!A:A, Timeline!D:D),
"In Progress", XLOOKUP(D16, Timeline!A:A, Timeline!E:E),
"Review", XLOOKUP(D16, Timeline!A:A, Timeline!F:F),
"Blocked", XLOOKUP(D16, Timeline!A:A, Timeline!G:G),
7
),
G16
)
)</f>
        <v>46197</v>
      </c>
      <c r="M16" s="3"/>
      <c r="N16" s="3"/>
    </row>
    <row r="17">
      <c r="A17" s="3" t="str">
        <f t="shared" si="1"/>
        <v>Security Awareness &amp; Human Risk Reduction</v>
      </c>
      <c r="B17" s="4" t="str">
        <f t="shared" si="2"/>
        <v>SEC-016</v>
      </c>
      <c r="C17" s="3" t="str">
        <f t="shared" si="3"/>
        <v>Launch mandatory employee training</v>
      </c>
      <c r="D17" s="5" t="str">
        <f t="shared" si="4"/>
        <v>Rollout &amp; Adoption</v>
      </c>
      <c r="E17" s="5" t="str">
        <f>IFERROR(VLOOKUP(B17,Rules!A:F,2,FALSE),"")</f>
        <v>HR &amp; Training Team</v>
      </c>
      <c r="F17" s="5" t="str">
        <f>IFERROR(VLOOKUP(B17,Rules!A:F,3,FALSE),"")</f>
        <v>High</v>
      </c>
      <c r="G17" s="6">
        <v>46241.0</v>
      </c>
      <c r="H17" s="5" t="str">
        <f>IFERROR(VLOOKUP(B17,Rules!A:F,6,FALSE),"")</f>
        <v>SEC-013, SEC-015</v>
      </c>
      <c r="I17" s="5" t="str">
        <f>IFERROR(VLOOKUP(B17,Rules!A:F,4,FALSE),"")</f>
        <v>Blocked</v>
      </c>
      <c r="J17" s="5" t="str">
        <f>IFERROR(VLOOKUP(B17,Rules!A:F,5,FALSE),"")</f>
        <v>High</v>
      </c>
      <c r="K17" s="3" t="s">
        <v>18</v>
      </c>
      <c r="L17" s="6">
        <f t="array" ref="L17">IF(
I17="Done",
G17,
IF(
G17&lt;TODAY(),
TODAY()+
SWITCH(
I17,
"To Do", XLOOKUP(D17, Timeline!A:A, Timeline!D:D),
"In Progress", XLOOKUP(D17, Timeline!A:A, Timeline!E:E),
"Review", XLOOKUP(D17, Timeline!A:A, Timeline!F:F),
"Blocked", XLOOKUP(D17, Timeline!A:A, Timeline!G:G),
7
),
G17
)
)</f>
        <v>46241</v>
      </c>
      <c r="M17" s="3"/>
      <c r="N17" s="3"/>
    </row>
    <row r="18">
      <c r="A18" s="3" t="str">
        <f t="shared" si="1"/>
        <v>Security Awareness &amp; Human Risk Reduction</v>
      </c>
      <c r="B18" s="4" t="str">
        <f t="shared" si="2"/>
        <v>SEC-017</v>
      </c>
      <c r="C18" s="3" t="str">
        <f t="shared" si="3"/>
        <v>Monitor completion rates by department</v>
      </c>
      <c r="D18" s="5" t="str">
        <f t="shared" si="4"/>
        <v>Rollout &amp; Adoption</v>
      </c>
      <c r="E18" s="5" t="str">
        <f>IFERROR(VLOOKUP(B18,Rules!A:F,2,FALSE),"")</f>
        <v>PMO / Governance Support</v>
      </c>
      <c r="F18" s="3" t="str">
        <f>IFERROR(VLOOKUP(B32,Rules!A:F,3,FALSE),"")</f>
        <v>Medium</v>
      </c>
      <c r="G18" s="6">
        <v>46273.0</v>
      </c>
      <c r="H18" s="5" t="str">
        <f>IFERROR(VLOOKUP(B18,Rules!A:F,6,FALSE),"")</f>
        <v>SEC-016</v>
      </c>
      <c r="I18" s="3" t="s">
        <v>14</v>
      </c>
      <c r="J18" s="5" t="str">
        <f>IFERROR(VLOOKUP(B18,Rules!A:F,5,FALSE),"")</f>
        <v>Medium</v>
      </c>
      <c r="K18" s="3" t="s">
        <v>19</v>
      </c>
      <c r="L18" s="6">
        <f t="array" ref="L18">IF(
I18="Done",
G18,
IF(
G18&lt;TODAY(),
TODAY()+
SWITCH(
I18,
"To Do", XLOOKUP(D18, Timeline!A:A, Timeline!D:D),
"In Progress", XLOOKUP(D18, Timeline!A:A, Timeline!E:E),
"Review", XLOOKUP(D18, Timeline!A:A, Timeline!F:F),
"Blocked", XLOOKUP(D18, Timeline!A:A, Timeline!G:G),
7
),
G18
)
)</f>
        <v>46273</v>
      </c>
      <c r="M18" s="3"/>
      <c r="N18" s="3"/>
    </row>
    <row r="19">
      <c r="A19" s="3" t="str">
        <f t="shared" si="1"/>
        <v>Security Awareness &amp; Human Risk Reduction</v>
      </c>
      <c r="B19" s="4" t="str">
        <f t="shared" si="2"/>
        <v>SEC-018</v>
      </c>
      <c r="C19" s="3" t="str">
        <f t="shared" si="3"/>
        <v>Send training reminder communications</v>
      </c>
      <c r="D19" s="5" t="str">
        <f t="shared" si="4"/>
        <v>Rollout &amp; Adoption</v>
      </c>
      <c r="E19" s="5" t="str">
        <f>IFERROR(VLOOKUP(B19,Rules!A:F,2,FALSE),"")</f>
        <v>HR &amp; Training Team</v>
      </c>
      <c r="F19" s="3" t="s">
        <v>20</v>
      </c>
      <c r="G19" s="6">
        <v>46270.0</v>
      </c>
      <c r="H19" s="5" t="str">
        <f>IFERROR(VLOOKUP(B19,Rules!A:F,6,FALSE),"")</f>
        <v/>
      </c>
      <c r="I19" s="3" t="s">
        <v>14</v>
      </c>
      <c r="J19" s="5" t="str">
        <f>IFERROR(VLOOKUP(B19,Rules!A:F,5,FALSE),"")</f>
        <v>Medium</v>
      </c>
      <c r="K19" s="3" t="s">
        <v>21</v>
      </c>
      <c r="L19" s="6">
        <f t="array" ref="L19">IF(
I19="Done",
G19,
IF(
G19&lt;TODAY(),
TODAY()+
SWITCH(
I19,
"To Do", XLOOKUP(D19, Timeline!A:A, Timeline!D:D),
"In Progress", XLOOKUP(D19, Timeline!A:A, Timeline!E:E),
"Review", XLOOKUP(D19, Timeline!A:A, Timeline!F:F),
"Blocked", XLOOKUP(D19, Timeline!A:A, Timeline!G:G),
7
),
G19
)
)</f>
        <v>46270</v>
      </c>
      <c r="M19" s="3"/>
      <c r="N19" s="3"/>
    </row>
    <row r="20">
      <c r="A20" s="3" t="str">
        <f t="shared" si="1"/>
        <v>Security Awareness &amp; Human Risk Reduction</v>
      </c>
      <c r="B20" s="4" t="str">
        <f t="shared" si="2"/>
        <v>SEC-019</v>
      </c>
      <c r="C20" s="3" t="str">
        <f t="shared" si="3"/>
        <v>Evaluate phishing simulation results</v>
      </c>
      <c r="D20" s="5" t="str">
        <f t="shared" si="4"/>
        <v>Rollout &amp; Adoption</v>
      </c>
      <c r="E20" s="5" t="str">
        <f>IFERROR(VLOOKUP(B20,Rules!A:F,2,FALSE),"")</f>
        <v>Security Transformation Lead</v>
      </c>
      <c r="F20" s="3" t="str">
        <f>IFERROR(VLOOKUP(B32,Rules!A:F,3,FALSE),"")</f>
        <v>Medium</v>
      </c>
      <c r="G20" s="6">
        <v>46277.0</v>
      </c>
      <c r="H20" s="5" t="str">
        <f>IFERROR(VLOOKUP(B20,Rules!A:F,6,FALSE),"")</f>
        <v/>
      </c>
      <c r="I20" s="5" t="str">
        <f>IFERROR(VLOOKUP(B20,Rules!A:F,4,FALSE),"")</f>
        <v>To Do</v>
      </c>
      <c r="J20" s="5" t="str">
        <f>IFERROR(VLOOKUP(B20,Rules!A:F,5,FALSE),"")</f>
        <v>Medium</v>
      </c>
      <c r="L20" s="6">
        <f t="array" ref="L20">IF(
I20="Done",
G20,
IF(
G20&lt;TODAY(),
TODAY()+
SWITCH(
I20,
"To Do", XLOOKUP(D20, Timeline!A:A, Timeline!D:D),
"In Progress", XLOOKUP(D20, Timeline!A:A, Timeline!E:E),
"Review", XLOOKUP(D20, Timeline!A:A, Timeline!F:F),
"Blocked", XLOOKUP(D20, Timeline!A:A, Timeline!G:G),
7
),
G20
)
)</f>
        <v>46277</v>
      </c>
      <c r="M20" s="3"/>
      <c r="N20" s="3"/>
    </row>
    <row r="21">
      <c r="A21" s="3" t="str">
        <f t="shared" si="1"/>
        <v>Security Awareness &amp; Human Risk Reduction</v>
      </c>
      <c r="B21" s="4" t="str">
        <f t="shared" si="2"/>
        <v>SEC-020</v>
      </c>
      <c r="C21" s="3" t="str">
        <f t="shared" si="3"/>
        <v>Recommend targeted retraining groups</v>
      </c>
      <c r="D21" s="5" t="str">
        <f t="shared" si="4"/>
        <v>Rollout &amp; Adoption</v>
      </c>
      <c r="E21" s="5" t="str">
        <f>IFERROR(VLOOKUP(B21,Rules!A:F,2,FALSE),"")</f>
        <v>HR &amp; Training Team</v>
      </c>
      <c r="F21" s="3" t="s">
        <v>20</v>
      </c>
      <c r="G21" s="6">
        <v>46209.0</v>
      </c>
      <c r="H21" s="5" t="str">
        <f>IFERROR(VLOOKUP(B21,Rules!A:F,6,FALSE),"")</f>
        <v/>
      </c>
      <c r="I21" s="5" t="str">
        <f>IFERROR(VLOOKUP(B21,Rules!A:F,4,FALSE),"")</f>
        <v>To Do</v>
      </c>
      <c r="J21" s="5" t="str">
        <f>IFERROR(VLOOKUP(B21,Rules!A:F,5,FALSE),"")</f>
        <v>Medium</v>
      </c>
      <c r="K21" s="3" t="s">
        <v>22</v>
      </c>
      <c r="L21" s="6">
        <f t="array" ref="L21">IF(
I21="Done",
G21,
IF(
G21&lt;TODAY(),
TODAY()+
SWITCH(
I21,
"To Do", XLOOKUP(D21, Timeline!A:A, Timeline!D:D),
"In Progress", XLOOKUP(D21, Timeline!A:A, Timeline!E:E),
"Review", XLOOKUP(D21, Timeline!A:A, Timeline!F:F),
"Blocked", XLOOKUP(D21, Timeline!A:A, Timeline!G:G),
7
),
G21
)
)</f>
        <v>46209</v>
      </c>
      <c r="M21" s="3"/>
      <c r="N21" s="3"/>
    </row>
    <row r="22">
      <c r="A22" s="3" t="str">
        <f t="shared" si="1"/>
        <v>Policy Compliance &amp; Governance</v>
      </c>
      <c r="B22" s="4" t="str">
        <f t="shared" si="2"/>
        <v>SEC-021</v>
      </c>
      <c r="C22" s="3" t="str">
        <f t="shared" si="3"/>
        <v>Review existing cybersecurity policies</v>
      </c>
      <c r="D22" s="5" t="str">
        <f t="shared" si="4"/>
        <v>Planning &amp; Pilot</v>
      </c>
      <c r="E22" s="5" t="str">
        <f>IFERROR(VLOOKUP(B22,Rules!A:F,2,FALSE),"")</f>
        <v>PMO / Governance Support</v>
      </c>
      <c r="F22" s="5" t="str">
        <f>IFERROR(VLOOKUP(B22,Rules!A:F,3,FALSE),"")</f>
        <v>Medium</v>
      </c>
      <c r="G22" s="6">
        <v>46178.0</v>
      </c>
      <c r="H22" s="5" t="str">
        <f>IFERROR(VLOOKUP(B22,Rules!A:F,6,FALSE),"")</f>
        <v/>
      </c>
      <c r="I22" s="5" t="str">
        <f>IFERROR(VLOOKUP(B22,Rules!A:F,4,FALSE),"")</f>
        <v>Done</v>
      </c>
      <c r="J22" s="5" t="str">
        <f>IFERROR(VLOOKUP(B22,Rules!A:F,5,FALSE),"")</f>
        <v>Medium</v>
      </c>
      <c r="L22" s="6">
        <f t="array" ref="L22">IF(
I22="Done",
G22,
IF(
G22&lt;TODAY(),
TODAY()+
SWITCH(
I22,
"To Do", XLOOKUP(D22, Timeline!A:A, Timeline!D:D),
"In Progress", XLOOKUP(D22, Timeline!A:A, Timeline!E:E),
"Review", XLOOKUP(D22, Timeline!A:A, Timeline!F:F),
"Blocked", XLOOKUP(D22, Timeline!A:A, Timeline!G:G),
7
),
G22
)
)</f>
        <v>46178</v>
      </c>
      <c r="M22" s="3"/>
      <c r="N22" s="3"/>
    </row>
    <row r="23">
      <c r="A23" s="3" t="str">
        <f t="shared" si="1"/>
        <v>Policy Compliance &amp; Governance</v>
      </c>
      <c r="B23" s="4" t="str">
        <f t="shared" si="2"/>
        <v>SEC-022</v>
      </c>
      <c r="C23" s="3" t="str">
        <f t="shared" si="3"/>
        <v>Update acceptable-use policy</v>
      </c>
      <c r="D23" s="5" t="str">
        <f t="shared" si="4"/>
        <v>Planning &amp; Pilot</v>
      </c>
      <c r="E23" s="5" t="str">
        <f>IFERROR(VLOOKUP(B23,Rules!A:F,2,FALSE),"")</f>
        <v>PMO / Governance Support</v>
      </c>
      <c r="F23" s="5" t="str">
        <f>IFERROR(VLOOKUP(B23,Rules!A:F,3,FALSE),"")</f>
        <v>Medium</v>
      </c>
      <c r="G23" s="6">
        <v>46193.0</v>
      </c>
      <c r="H23" s="5" t="str">
        <f>IFERROR(VLOOKUP(B23,Rules!A:F,6,FALSE),"")</f>
        <v>SEC-021</v>
      </c>
      <c r="I23" s="5" t="str">
        <f>IFERROR(VLOOKUP(B23,Rules!A:F,4,FALSE),"")</f>
        <v>In Progress</v>
      </c>
      <c r="J23" s="5" t="str">
        <f>IFERROR(VLOOKUP(B23,Rules!A:F,5,FALSE),"")</f>
        <v>Medium</v>
      </c>
      <c r="L23" s="6">
        <f t="array" ref="L23">IF(
I23="Done",
G23,
IF(
G23&lt;TODAY(),
TODAY()+
SWITCH(
I23,
"To Do", XLOOKUP(D23, Timeline!A:A, Timeline!D:D),
"In Progress", XLOOKUP(D23, Timeline!A:A, Timeline!E:E),
"Review", XLOOKUP(D23, Timeline!A:A, Timeline!F:F),
"Blocked", XLOOKUP(D23, Timeline!A:A, Timeline!G:G),
7
),
G23
)
)</f>
        <v>46193</v>
      </c>
      <c r="M23" s="3"/>
      <c r="N23" s="3"/>
    </row>
    <row r="24">
      <c r="A24" s="3" t="str">
        <f t="shared" si="1"/>
        <v>Policy Compliance &amp; Governance</v>
      </c>
      <c r="B24" s="4" t="str">
        <f t="shared" si="2"/>
        <v>SEC-023</v>
      </c>
      <c r="C24" s="3" t="str">
        <f t="shared" si="3"/>
        <v>Revise password and credential standards</v>
      </c>
      <c r="D24" s="5" t="str">
        <f t="shared" si="4"/>
        <v>Planning &amp; Pilot</v>
      </c>
      <c r="E24" s="5" t="str">
        <f>IFERROR(VLOOKUP(B24,Rules!A:F,2,FALSE),"")</f>
        <v>IT Security Team</v>
      </c>
      <c r="F24" s="5" t="str">
        <f>IFERROR(VLOOKUP(B24,Rules!A:F,3,FALSE),"")</f>
        <v>Medium</v>
      </c>
      <c r="G24" s="6">
        <v>46194.0</v>
      </c>
      <c r="H24" s="5" t="str">
        <f>IFERROR(VLOOKUP(B24,Rules!A:F,6,FALSE),"")</f>
        <v>SEC-021</v>
      </c>
      <c r="I24" s="3" t="s">
        <v>14</v>
      </c>
      <c r="J24" s="5" t="str">
        <f>IFERROR(VLOOKUP(B24,Rules!A:F,5,FALSE),"")</f>
        <v>Medium</v>
      </c>
      <c r="L24" s="6">
        <f t="array" ref="L24">IF(
I24="Done",
G24,
IF(
G24&lt;TODAY(),
TODAY()+
SWITCH(
I24,
"To Do", XLOOKUP(D24, Timeline!A:A, Timeline!D:D),
"In Progress", XLOOKUP(D24, Timeline!A:A, Timeline!E:E),
"Review", XLOOKUP(D24, Timeline!A:A, Timeline!F:F),
"Blocked", XLOOKUP(D24, Timeline!A:A, Timeline!G:G),
7
),
G24
)
)</f>
        <v>46194</v>
      </c>
      <c r="M24" s="3"/>
      <c r="N24" s="3"/>
    </row>
    <row r="25">
      <c r="A25" s="3" t="str">
        <f t="shared" si="1"/>
        <v>Policy Compliance &amp; Governance</v>
      </c>
      <c r="B25" s="4" t="str">
        <f t="shared" si="2"/>
        <v>SEC-024</v>
      </c>
      <c r="C25" s="3" t="str">
        <f t="shared" si="3"/>
        <v>Configure employee acknowledgment workflow</v>
      </c>
      <c r="D25" s="5" t="str">
        <f t="shared" si="4"/>
        <v>Planning &amp; Pilot</v>
      </c>
      <c r="E25" s="5" t="str">
        <f>IFERROR(VLOOKUP(B25,Rules!A:F,2,FALSE),"")</f>
        <v>PMO / Governance Support</v>
      </c>
      <c r="F25" s="5" t="str">
        <f>IFERROR(VLOOKUP(B25,Rules!A:F,3,FALSE),"")</f>
        <v>Medium</v>
      </c>
      <c r="G25" s="6">
        <v>46200.0</v>
      </c>
      <c r="H25" s="5" t="str">
        <f>IFERROR(VLOOKUP(B25,Rules!A:F,6,FALSE),"")</f>
        <v>SEC-022, SEC-023</v>
      </c>
      <c r="I25" s="3" t="s">
        <v>14</v>
      </c>
      <c r="J25" s="5" t="str">
        <f>IFERROR(VLOOKUP(B25,Rules!A:F,5,FALSE),"")</f>
        <v>Medium</v>
      </c>
      <c r="L25" s="6">
        <f t="array" ref="L25">IF(
I25="Done",
G25,
IF(
G25&lt;TODAY(),
TODAY()+
SWITCH(
I25,
"To Do", XLOOKUP(D25, Timeline!A:A, Timeline!D:D),
"In Progress", XLOOKUP(D25, Timeline!A:A, Timeline!E:E),
"Review", XLOOKUP(D25, Timeline!A:A, Timeline!F:F),
"Blocked", XLOOKUP(D25, Timeline!A:A, Timeline!G:G),
7
),
G25
)
)</f>
        <v>46200</v>
      </c>
      <c r="M25" s="3"/>
      <c r="N25" s="3"/>
    </row>
    <row r="26">
      <c r="A26" s="3" t="str">
        <f t="shared" si="1"/>
        <v>Policy Compliance &amp; Governance</v>
      </c>
      <c r="B26" s="4" t="str">
        <f t="shared" si="2"/>
        <v>SEC-025</v>
      </c>
      <c r="C26" s="3" t="str">
        <f t="shared" si="3"/>
        <v>Launch policy attestation campaign</v>
      </c>
      <c r="D26" s="5" t="str">
        <f t="shared" si="4"/>
        <v>Rollout &amp; Adoption</v>
      </c>
      <c r="E26" s="5" t="str">
        <f>IFERROR(VLOOKUP(B26,Rules!A:F,2,FALSE),"")</f>
        <v>PMO / Governance Support</v>
      </c>
      <c r="F26" s="5" t="str">
        <f>IFERROR(VLOOKUP(B26,Rules!A:F,3,FALSE),"")</f>
        <v>High</v>
      </c>
      <c r="G26" s="6">
        <v>46228.0</v>
      </c>
      <c r="H26" s="5" t="str">
        <f>IFERROR(VLOOKUP(B26,Rules!A:F,6,FALSE),"")</f>
        <v>SEC-022, SEC-023, SEC-024</v>
      </c>
      <c r="I26" s="5" t="str">
        <f>IFERROR(VLOOKUP(B26,Rules!A:F,4,FALSE),"")</f>
        <v>To Do</v>
      </c>
      <c r="J26" s="5" t="str">
        <f>IFERROR(VLOOKUP(B26,Rules!A:F,5,FALSE),"")</f>
        <v>High</v>
      </c>
      <c r="K26" s="3" t="s">
        <v>23</v>
      </c>
      <c r="L26" s="6">
        <f t="array" ref="L26">IF(
I26="Done",
G26,
IF(
G26&lt;TODAY(),
TODAY()+
SWITCH(
I26,
"To Do", XLOOKUP(D26, Timeline!A:A, Timeline!D:D),
"In Progress", XLOOKUP(D26, Timeline!A:A, Timeline!E:E),
"Review", XLOOKUP(D26, Timeline!A:A, Timeline!F:F),
"Blocked", XLOOKUP(D26, Timeline!A:A, Timeline!G:G),
7
),
G26
)
)</f>
        <v>46228</v>
      </c>
      <c r="M26" s="3"/>
      <c r="N26" s="3"/>
    </row>
    <row r="27">
      <c r="A27" s="3" t="str">
        <f t="shared" si="1"/>
        <v>Policy Compliance &amp; Governance</v>
      </c>
      <c r="B27" s="4" t="str">
        <f t="shared" si="2"/>
        <v>SEC-026</v>
      </c>
      <c r="C27" s="3" t="str">
        <f t="shared" si="3"/>
        <v>Monitor policy completion compliance</v>
      </c>
      <c r="D27" s="5" t="str">
        <f t="shared" si="4"/>
        <v>Rollout &amp; Adoption</v>
      </c>
      <c r="E27" s="5" t="str">
        <f>IFERROR(VLOOKUP(B27,Rules!A:F,2,FALSE),"")</f>
        <v>Department Managers</v>
      </c>
      <c r="F27" s="3" t="s">
        <v>20</v>
      </c>
      <c r="G27" s="6">
        <v>46228.0</v>
      </c>
      <c r="H27" s="5" t="str">
        <f>IFERROR(VLOOKUP(B27,Rules!A:F,6,FALSE),"")</f>
        <v>SEC-025</v>
      </c>
      <c r="I27" s="5" t="str">
        <f>IFERROR(VLOOKUP(B27,Rules!A:F,4,FALSE),"")</f>
        <v>To Do</v>
      </c>
      <c r="J27" s="5" t="str">
        <f>IFERROR(VLOOKUP(B27,Rules!A:F,5,FALSE),"")</f>
        <v>Medium</v>
      </c>
      <c r="K27" s="3" t="s">
        <v>24</v>
      </c>
      <c r="L27" s="6">
        <f t="array" ref="L27">IF(
I27="Done",
G27,
IF(
G27&lt;TODAY(),
TODAY()+
SWITCH(
I27,
"To Do", XLOOKUP(D27, Timeline!A:A, Timeline!D:D),
"In Progress", XLOOKUP(D27, Timeline!A:A, Timeline!E:E),
"Review", XLOOKUP(D27, Timeline!A:A, Timeline!F:F),
"Blocked", XLOOKUP(D27, Timeline!A:A, Timeline!G:G),
7
),
G27
)
)</f>
        <v>46228</v>
      </c>
      <c r="M27" s="3"/>
      <c r="N27" s="3"/>
    </row>
    <row r="28">
      <c r="A28" s="3" t="str">
        <f t="shared" si="1"/>
        <v>Incident Intake &amp; Escalation Modernization</v>
      </c>
      <c r="B28" s="4" t="str">
        <f t="shared" si="2"/>
        <v>SEC-027</v>
      </c>
      <c r="C28" s="3" t="str">
        <f t="shared" si="3"/>
        <v>Document current incident reporting workflow</v>
      </c>
      <c r="D28" s="5" t="str">
        <f t="shared" si="4"/>
        <v>Planning &amp; Pilot</v>
      </c>
      <c r="E28" s="5" t="str">
        <f>IFERROR(VLOOKUP(B28,Rules!A:F,2,FALSE),"")</f>
        <v>IT Security Team</v>
      </c>
      <c r="F28" s="5" t="str">
        <f>IFERROR(VLOOKUP(B28,Rules!A:F,3,FALSE),"")</f>
        <v>Medium</v>
      </c>
      <c r="G28" s="6">
        <v>46182.0</v>
      </c>
      <c r="H28" s="5" t="str">
        <f>IFERROR(VLOOKUP(B28,Rules!A:F,6,FALSE),"")</f>
        <v/>
      </c>
      <c r="I28" s="3" t="s">
        <v>14</v>
      </c>
      <c r="J28" s="5" t="str">
        <f>IFERROR(VLOOKUP(B28,Rules!A:F,5,FALSE),"")</f>
        <v>Medium</v>
      </c>
      <c r="L28" s="6">
        <f t="array" ref="L28">IF(
I28="Done",
G28,
IF(
G28&lt;TODAY(),
TODAY()+
SWITCH(
I28,
"To Do", XLOOKUP(D28, Timeline!A:A, Timeline!D:D),
"In Progress", XLOOKUP(D28, Timeline!A:A, Timeline!E:E),
"Review", XLOOKUP(D28, Timeline!A:A, Timeline!F:F),
"Blocked", XLOOKUP(D28, Timeline!A:A, Timeline!G:G),
7
),
G28
)
)</f>
        <v>46182</v>
      </c>
      <c r="M28" s="3"/>
      <c r="N28" s="3"/>
    </row>
    <row r="29">
      <c r="A29" s="3" t="str">
        <f t="shared" si="1"/>
        <v>Incident Intake &amp; Escalation Modernization</v>
      </c>
      <c r="B29" s="4" t="str">
        <f t="shared" si="2"/>
        <v>SEC-028</v>
      </c>
      <c r="C29" s="3" t="str">
        <f t="shared" si="3"/>
        <v>Identify reporting bottlenecks</v>
      </c>
      <c r="D29" s="5" t="str">
        <f t="shared" si="4"/>
        <v>Planning &amp; Pilot</v>
      </c>
      <c r="E29" s="5" t="str">
        <f>IFERROR(VLOOKUP(B29,Rules!A:F,2,FALSE),"")</f>
        <v>IT Security Team</v>
      </c>
      <c r="F29" s="3" t="s">
        <v>20</v>
      </c>
      <c r="G29" s="6">
        <v>46193.0</v>
      </c>
      <c r="H29" s="5" t="str">
        <f>IFERROR(VLOOKUP(B29,Rules!A:F,6,FALSE),"")</f>
        <v/>
      </c>
      <c r="I29" s="5" t="str">
        <f>IFERROR(VLOOKUP(B29,Rules!A:F,4,FALSE),"")</f>
        <v>To Do</v>
      </c>
      <c r="J29" s="5" t="str">
        <f>IFERROR(VLOOKUP(B29,Rules!A:F,5,FALSE),"")</f>
        <v>Medium</v>
      </c>
      <c r="K29" s="3" t="s">
        <v>25</v>
      </c>
      <c r="L29" s="6">
        <f t="array" ref="L29">IF(
I29="Done",
G29,
IF(
G29&lt;TODAY(),
TODAY()+
SWITCH(
I29,
"To Do", XLOOKUP(D29, Timeline!A:A, Timeline!D:D),
"In Progress", XLOOKUP(D29, Timeline!A:A, Timeline!E:E),
"Review", XLOOKUP(D29, Timeline!A:A, Timeline!F:F),
"Blocked", XLOOKUP(D29, Timeline!A:A, Timeline!G:G),
7
),
G29
)
)</f>
        <v>46193</v>
      </c>
      <c r="M29" s="3"/>
      <c r="N29" s="3"/>
    </row>
    <row r="30">
      <c r="A30" s="3" t="str">
        <f t="shared" si="1"/>
        <v>Incident Intake &amp; Escalation Modernization</v>
      </c>
      <c r="B30" s="4" t="str">
        <f t="shared" si="2"/>
        <v>SEC-029</v>
      </c>
      <c r="C30" s="3" t="str">
        <f t="shared" si="3"/>
        <v>Design revised escalation process</v>
      </c>
      <c r="D30" s="5" t="str">
        <f t="shared" si="4"/>
        <v>Planning &amp; Pilot</v>
      </c>
      <c r="E30" s="5" t="str">
        <f>IFERROR(VLOOKUP(B30,Rules!A:F,2,FALSE),"")</f>
        <v>IT Security Team</v>
      </c>
      <c r="F30" s="5" t="str">
        <f>IFERROR(VLOOKUP(B30,Rules!A:F,3,FALSE),"")</f>
        <v>Medium</v>
      </c>
      <c r="G30" s="6">
        <v>46193.0</v>
      </c>
      <c r="H30" s="5" t="str">
        <f>IFERROR(VLOOKUP(B30,Rules!A:F,6,FALSE),"")</f>
        <v>SEC-027, SEC-028</v>
      </c>
      <c r="I30" s="5" t="str">
        <f>IFERROR(VLOOKUP(B30,Rules!A:F,4,FALSE),"")</f>
        <v>In Progress</v>
      </c>
      <c r="J30" s="5" t="str">
        <f>IFERROR(VLOOKUP(B30,Rules!A:F,5,FALSE),"")</f>
        <v>Medium</v>
      </c>
      <c r="L30" s="6">
        <f t="array" ref="L30">IF(
I30="Done",
G30,
IF(
G30&lt;TODAY(),
TODAY()+
SWITCH(
I30,
"To Do", XLOOKUP(D30, Timeline!A:A, Timeline!D:D),
"In Progress", XLOOKUP(D30, Timeline!A:A, Timeline!E:E),
"Review", XLOOKUP(D30, Timeline!A:A, Timeline!F:F),
"Blocked", XLOOKUP(D30, Timeline!A:A, Timeline!G:G),
7
),
G30
)
)</f>
        <v>46193</v>
      </c>
      <c r="M30" s="3"/>
      <c r="N30" s="3"/>
    </row>
    <row r="31">
      <c r="A31" s="3" t="str">
        <f t="shared" si="1"/>
        <v>Incident Intake &amp; Escalation Modernization</v>
      </c>
      <c r="B31" s="4" t="str">
        <f t="shared" si="2"/>
        <v>SEC-030</v>
      </c>
      <c r="C31" s="3" t="str">
        <f t="shared" si="3"/>
        <v>Develop incident reporting templates</v>
      </c>
      <c r="D31" s="5" t="str">
        <f t="shared" si="4"/>
        <v>Planning &amp; Pilot</v>
      </c>
      <c r="E31" s="5" t="str">
        <f>IFERROR(VLOOKUP(B31,Rules!A:F,2,FALSE),"")</f>
        <v>IT Security Team</v>
      </c>
      <c r="F31" s="5" t="str">
        <f>IFERROR(VLOOKUP(B31,Rules!A:F,3,FALSE),"")</f>
        <v>Medium</v>
      </c>
      <c r="G31" s="6">
        <v>46195.0</v>
      </c>
      <c r="H31" s="5" t="str">
        <f>IFERROR(VLOOKUP(B31,Rules!A:F,6,FALSE),"")</f>
        <v>SEC-029</v>
      </c>
      <c r="I31" s="5" t="str">
        <f>IFERROR(VLOOKUP(B31,Rules!A:F,4,FALSE),"")</f>
        <v>Review</v>
      </c>
      <c r="J31" s="5" t="str">
        <f>IFERROR(VLOOKUP(B31,Rules!A:F,5,FALSE),"")</f>
        <v>Medium</v>
      </c>
      <c r="L31" s="6">
        <f t="array" ref="L31">IF(
I31="Done",
G31,
IF(
G31&lt;TODAY(),
TODAY()+
SWITCH(
I31,
"To Do", XLOOKUP(D31, Timeline!A:A, Timeline!D:D),
"In Progress", XLOOKUP(D31, Timeline!A:A, Timeline!E:E),
"Review", XLOOKUP(D31, Timeline!A:A, Timeline!F:F),
"Blocked", XLOOKUP(D31, Timeline!A:A, Timeline!G:G),
7
),
G31
)
)</f>
        <v>46195</v>
      </c>
      <c r="M31" s="3"/>
      <c r="N31" s="3"/>
    </row>
    <row r="32">
      <c r="A32" s="3" t="str">
        <f t="shared" si="1"/>
        <v>Incident Intake &amp; Escalation Modernization</v>
      </c>
      <c r="B32" s="4" t="str">
        <f t="shared" si="2"/>
        <v>SEC-031</v>
      </c>
      <c r="C32" s="3" t="str">
        <f t="shared" si="3"/>
        <v>Train managers on escalation procedures</v>
      </c>
      <c r="D32" s="5" t="str">
        <f t="shared" si="4"/>
        <v>Rollout &amp; Adoption</v>
      </c>
      <c r="E32" s="5" t="str">
        <f>IFERROR(VLOOKUP(B32,Rules!A:F,2,FALSE),"")</f>
        <v>Department Managers</v>
      </c>
      <c r="F32" s="5" t="str">
        <f>IFERROR(VLOOKUP(B32,Rules!A:F,3,FALSE),"")</f>
        <v>Medium</v>
      </c>
      <c r="G32" s="6">
        <v>46270.0</v>
      </c>
      <c r="H32" s="5" t="str">
        <f>IFERROR(VLOOKUP(B32,Rules!A:F,6,FALSE),"")</f>
        <v>SEC-029, SEC-030</v>
      </c>
      <c r="I32" s="5" t="str">
        <f>IFERROR(VLOOKUP(B32,Rules!A:F,4,FALSE),"")</f>
        <v>To Do</v>
      </c>
      <c r="J32" s="5" t="str">
        <f>IFERROR(VLOOKUP(B32,Rules!A:F,5,FALSE),"")</f>
        <v>Medium</v>
      </c>
      <c r="L32" s="6">
        <f t="array" ref="L32">IF(
I32="Done",
G32,
IF(
G32&lt;TODAY(),
TODAY()+
SWITCH(
I32,
"To Do", XLOOKUP(D32, Timeline!A:A, Timeline!D:D),
"In Progress", XLOOKUP(D32, Timeline!A:A, Timeline!E:E),
"Review", XLOOKUP(D32, Timeline!A:A, Timeline!F:F),
"Blocked", XLOOKUP(D32, Timeline!A:A, Timeline!G:G),
7
),
G32
)
)</f>
        <v>46270</v>
      </c>
      <c r="M32" s="3"/>
      <c r="N32" s="3"/>
    </row>
    <row r="33">
      <c r="A33" s="3" t="str">
        <f t="shared" si="1"/>
        <v>Incident Intake &amp; Escalation Modernization</v>
      </c>
      <c r="B33" s="4" t="str">
        <f t="shared" si="2"/>
        <v>SEC-032</v>
      </c>
      <c r="C33" s="3" t="str">
        <f t="shared" si="3"/>
        <v>Launch updated reporting process</v>
      </c>
      <c r="D33" s="5" t="str">
        <f t="shared" si="4"/>
        <v>Rollout &amp; Adoption</v>
      </c>
      <c r="E33" s="5" t="str">
        <f>IFERROR(VLOOKUP(B33,Rules!A:F,2,FALSE),"")</f>
        <v>Security Transformation Lead</v>
      </c>
      <c r="F33" s="5" t="str">
        <f>IFERROR(VLOOKUP(B33,Rules!A:F,3,FALSE),"")</f>
        <v>High</v>
      </c>
      <c r="G33" s="6">
        <v>46259.0</v>
      </c>
      <c r="H33" s="5" t="str">
        <f>IFERROR(VLOOKUP(B33,Rules!A:F,6,FALSE),"")</f>
        <v>SEC-029, SEC-030, SEC-031</v>
      </c>
      <c r="I33" s="3" t="s">
        <v>14</v>
      </c>
      <c r="J33" s="5" t="str">
        <f>IFERROR(VLOOKUP(B33,Rules!A:F,5,FALSE),"")</f>
        <v>High</v>
      </c>
      <c r="K33" s="3" t="s">
        <v>26</v>
      </c>
      <c r="L33" s="6">
        <f t="array" ref="L33">IF(
I33="Done",
G33,
IF(
G33&lt;TODAY(),
TODAY()+
SWITCH(
I33,
"To Do", XLOOKUP(D33, Timeline!A:A, Timeline!D:D),
"In Progress", XLOOKUP(D33, Timeline!A:A, Timeline!E:E),
"Review", XLOOKUP(D33, Timeline!A:A, Timeline!F:F),
"Blocked", XLOOKUP(D33, Timeline!A:A, Timeline!G:G),
7
),
G33
)
)</f>
        <v>46259</v>
      </c>
      <c r="M33" s="3"/>
      <c r="N33" s="3"/>
    </row>
    <row r="34">
      <c r="A34" s="3" t="str">
        <f t="shared" si="1"/>
        <v>Stakeholder Engagement &amp; Change Management</v>
      </c>
      <c r="B34" s="4" t="str">
        <f t="shared" si="2"/>
        <v>SEC-033</v>
      </c>
      <c r="C34" s="3" t="str">
        <f t="shared" si="3"/>
        <v>Identify stakeholder groups</v>
      </c>
      <c r="D34" s="5" t="str">
        <f t="shared" si="4"/>
        <v>Planning &amp; Pilot</v>
      </c>
      <c r="E34" s="5" t="str">
        <f>IFERROR(VLOOKUP(B34,Rules!A:F,2,FALSE),"")</f>
        <v>PMO / Governance Support</v>
      </c>
      <c r="F34" s="5" t="str">
        <f>IFERROR(VLOOKUP(B34,Rules!A:F,3,FALSE),"")</f>
        <v>Medium</v>
      </c>
      <c r="G34" s="6">
        <v>46184.0</v>
      </c>
      <c r="H34" s="5" t="str">
        <f>IFERROR(VLOOKUP(B34,Rules!A:F,6,FALSE),"")</f>
        <v/>
      </c>
      <c r="I34" s="3" t="s">
        <v>13</v>
      </c>
      <c r="J34" s="5" t="str">
        <f>IFERROR(VLOOKUP(B34,Rules!A:F,5,FALSE),"")</f>
        <v>Low</v>
      </c>
      <c r="L34" s="6">
        <f t="array" ref="L34">IF(
I34="Done",
G34,
IF(
G34&lt;TODAY(),
TODAY()+
SWITCH(
I34,
"To Do", XLOOKUP(D34, Timeline!A:A, Timeline!D:D),
"In Progress", XLOOKUP(D34, Timeline!A:A, Timeline!E:E),
"Review", XLOOKUP(D34, Timeline!A:A, Timeline!F:F),
"Blocked", XLOOKUP(D34, Timeline!A:A, Timeline!G:G),
7
),
G34
)
)</f>
        <v>46184</v>
      </c>
      <c r="M34" s="3"/>
      <c r="N34" s="3"/>
    </row>
    <row r="35">
      <c r="A35" s="3" t="str">
        <f t="shared" si="1"/>
        <v>Stakeholder Engagement &amp; Change Management</v>
      </c>
      <c r="B35" s="4" t="str">
        <f t="shared" si="2"/>
        <v>SEC-034</v>
      </c>
      <c r="C35" s="3" t="str">
        <f t="shared" si="3"/>
        <v>Develop communication strategy</v>
      </c>
      <c r="D35" s="5" t="str">
        <f t="shared" si="4"/>
        <v>Planning &amp; Pilot</v>
      </c>
      <c r="E35" s="5" t="str">
        <f>IFERROR(VLOOKUP(B35,Rules!A:F,2,FALSE),"")</f>
        <v>PMO / Governance Support</v>
      </c>
      <c r="F35" s="5" t="str">
        <f>IFERROR(VLOOKUP(B35,Rules!A:F,3,FALSE),"")</f>
        <v>Medium</v>
      </c>
      <c r="G35" s="6">
        <v>46190.0</v>
      </c>
      <c r="H35" s="5" t="str">
        <f>IFERROR(VLOOKUP(B35,Rules!A:F,6,FALSE),"")</f>
        <v>SEC-033</v>
      </c>
      <c r="I35" s="3" t="s">
        <v>14</v>
      </c>
      <c r="J35" s="5" t="str">
        <f>IFERROR(VLOOKUP(B35,Rules!A:F,5,FALSE),"")</f>
        <v>Low</v>
      </c>
      <c r="L35" s="6">
        <f t="array" ref="L35">IF(
I35="Done",
G35,
IF(
G35&lt;TODAY(),
TODAY()+
SWITCH(
I35,
"To Do", XLOOKUP(D35, Timeline!A:A, Timeline!D:D),
"In Progress", XLOOKUP(D35, Timeline!A:A, Timeline!E:E),
"Review", XLOOKUP(D35, Timeline!A:A, Timeline!F:F),
"Blocked", XLOOKUP(D35, Timeline!A:A, Timeline!G:G),
7
),
G35
)
)</f>
        <v>46190</v>
      </c>
      <c r="M35" s="3"/>
      <c r="N35" s="3"/>
    </row>
    <row r="36">
      <c r="A36" s="3" t="str">
        <f t="shared" si="1"/>
        <v>Stakeholder Engagement &amp; Change Management</v>
      </c>
      <c r="B36" s="4" t="str">
        <f t="shared" si="2"/>
        <v>SEC-035</v>
      </c>
      <c r="C36" s="3" t="str">
        <f t="shared" si="3"/>
        <v>Draft executive kickoff briefing</v>
      </c>
      <c r="D36" s="5" t="str">
        <f t="shared" si="4"/>
        <v>Planning &amp; Pilot</v>
      </c>
      <c r="E36" s="5" t="str">
        <f>IFERROR(VLOOKUP(B36,Rules!A:F,2,FALSE),"")</f>
        <v>PMO / Governance Support</v>
      </c>
      <c r="F36" s="3" t="s">
        <v>20</v>
      </c>
      <c r="G36" s="6">
        <v>46198.0</v>
      </c>
      <c r="H36" s="5" t="str">
        <f>IFERROR(VLOOKUP(B36,Rules!A:F,6,FALSE),"")</f>
        <v>SEC-034</v>
      </c>
      <c r="I36" s="5" t="str">
        <f>IFERROR(VLOOKUP(B36,Rules!A:F,4,FALSE),"")</f>
        <v>To Do</v>
      </c>
      <c r="J36" s="5" t="str">
        <f>IFERROR(VLOOKUP(B36,Rules!A:F,5,FALSE),"")</f>
        <v>Low</v>
      </c>
      <c r="K36" s="3" t="s">
        <v>27</v>
      </c>
      <c r="L36" s="6">
        <f t="array" ref="L36">IF(
I36="Done",
G36,
IF(
G36&lt;TODAY(),
TODAY()+
SWITCH(
I36,
"To Do", XLOOKUP(D36, Timeline!A:A, Timeline!D:D),
"In Progress", XLOOKUP(D36, Timeline!A:A, Timeline!E:E),
"Review", XLOOKUP(D36, Timeline!A:A, Timeline!F:F),
"Blocked", XLOOKUP(D36, Timeline!A:A, Timeline!G:G),
7
),
G36
)
)</f>
        <v>46198</v>
      </c>
      <c r="M36" s="3"/>
      <c r="N36" s="3"/>
    </row>
    <row r="37">
      <c r="A37" s="3" t="str">
        <f t="shared" si="1"/>
        <v>Stakeholder Engagement &amp; Change Management</v>
      </c>
      <c r="B37" s="4" t="str">
        <f t="shared" si="2"/>
        <v>SEC-036</v>
      </c>
      <c r="C37" s="3" t="str">
        <f t="shared" si="3"/>
        <v>Publish employee FAQ document</v>
      </c>
      <c r="D37" s="5" t="str">
        <f t="shared" si="4"/>
        <v>Rollout &amp; Adoption</v>
      </c>
      <c r="E37" s="5" t="str">
        <f>IFERROR(VLOOKUP(B37,Rules!A:F,2,FALSE),"")</f>
        <v>PMO / Governance Support</v>
      </c>
      <c r="F37" s="3" t="s">
        <v>20</v>
      </c>
      <c r="G37" s="6">
        <v>46219.0</v>
      </c>
      <c r="H37" s="5" t="str">
        <f>IFERROR(VLOOKUP(B37,Rules!A:F,6,FALSE),"")</f>
        <v>SEC-034</v>
      </c>
      <c r="I37" s="5" t="str">
        <f>IFERROR(VLOOKUP(B37,Rules!A:F,4,FALSE),"")</f>
        <v>To Do</v>
      </c>
      <c r="J37" s="5" t="str">
        <f>IFERROR(VLOOKUP(B37,Rules!A:F,5,FALSE),"")</f>
        <v>Low</v>
      </c>
      <c r="K37" s="3" t="s">
        <v>28</v>
      </c>
      <c r="L37" s="6">
        <f t="array" ref="L37">IF(
I37="Done",
G37,
IF(
G37&lt;TODAY(),
TODAY()+
SWITCH(
I37,
"To Do", XLOOKUP(D37, Timeline!A:A, Timeline!D:D),
"In Progress", XLOOKUP(D37, Timeline!A:A, Timeline!E:E),
"Review", XLOOKUP(D37, Timeline!A:A, Timeline!F:F),
"Blocked", XLOOKUP(D37, Timeline!A:A, Timeline!G:G),
7
),
G37
)
)</f>
        <v>46219</v>
      </c>
      <c r="M37" s="3"/>
      <c r="N37" s="3"/>
    </row>
    <row r="38">
      <c r="A38" s="3" t="str">
        <f t="shared" si="1"/>
        <v>Stakeholder Engagement &amp; Change Management</v>
      </c>
      <c r="B38" s="4" t="str">
        <f t="shared" si="2"/>
        <v>SEC-037</v>
      </c>
      <c r="C38" s="3" t="str">
        <f t="shared" si="3"/>
        <v>Conduct biweekly stakeholder reviews</v>
      </c>
      <c r="D38" s="5" t="str">
        <f t="shared" si="4"/>
        <v>Rollout &amp; Adoption</v>
      </c>
      <c r="E38" s="5" t="str">
        <f>IFERROR(VLOOKUP(B38,Rules!A:F,2,FALSE),"")</f>
        <v>PMO / Governance Support</v>
      </c>
      <c r="F38" s="5" t="str">
        <f>IFERROR(VLOOKUP(B38,Rules!A:F,3,FALSE),"")</f>
        <v>Medium</v>
      </c>
      <c r="G38" s="6">
        <v>46278.0</v>
      </c>
      <c r="H38" s="5" t="str">
        <f>IFERROR(VLOOKUP(B38,Rules!A:F,6,FALSE),"")</f>
        <v>SEC-035</v>
      </c>
      <c r="I38" s="3" t="s">
        <v>13</v>
      </c>
      <c r="J38" s="5" t="str">
        <f>IFERROR(VLOOKUP(B38,Rules!A:F,5,FALSE),"")</f>
        <v>Low</v>
      </c>
      <c r="L38" s="6">
        <f t="array" ref="L38">IF(
I38="Done",
G38,
IF(
G38&lt;TODAY(),
TODAY()+
SWITCH(
I38,
"To Do", XLOOKUP(D38, Timeline!A:A, Timeline!D:D),
"In Progress", XLOOKUP(D38, Timeline!A:A, Timeline!E:E),
"Review", XLOOKUP(D38, Timeline!A:A, Timeline!F:F),
"Blocked", XLOOKUP(D38, Timeline!A:A, Timeline!G:G),
7
),
G38
)
)</f>
        <v>46278</v>
      </c>
      <c r="M38" s="3"/>
      <c r="N38" s="3"/>
    </row>
    <row r="39">
      <c r="A39" s="3" t="str">
        <f t="shared" si="1"/>
        <v>Stakeholder Engagement &amp; Change Management</v>
      </c>
      <c r="B39" s="4" t="str">
        <f t="shared" si="2"/>
        <v>SEC-038</v>
      </c>
      <c r="C39" s="3" t="str">
        <f t="shared" si="3"/>
        <v>Coordinate adoption feedback sessions</v>
      </c>
      <c r="D39" s="5" t="str">
        <f t="shared" si="4"/>
        <v>Rollout &amp; Adoption</v>
      </c>
      <c r="E39" s="5" t="str">
        <f>IFERROR(VLOOKUP(B39,Rules!A:F,2,FALSE),"")</f>
        <v>Department Managers</v>
      </c>
      <c r="F39" s="3" t="s">
        <v>20</v>
      </c>
      <c r="G39" s="6">
        <v>46230.0</v>
      </c>
      <c r="H39" s="5" t="str">
        <f>IFERROR(VLOOKUP(B39,Rules!A:F,6,FALSE),"")</f>
        <v>SEC-036</v>
      </c>
      <c r="I39" s="5" t="str">
        <f>IFERROR(VLOOKUP(B39,Rules!A:F,4,FALSE),"")</f>
        <v>To Do</v>
      </c>
      <c r="J39" s="5" t="str">
        <f>IFERROR(VLOOKUP(B39,Rules!A:F,5,FALSE),"")</f>
        <v>Low</v>
      </c>
      <c r="K39" s="3" t="s">
        <v>29</v>
      </c>
      <c r="L39" s="6">
        <f t="array" ref="L39">IF(
I39="Done",
G39,
IF(
G39&lt;TODAY(),
TODAY()+
SWITCH(
I39,
"To Do", XLOOKUP(D39, Timeline!A:A, Timeline!D:D),
"In Progress", XLOOKUP(D39, Timeline!A:A, Timeline!E:E),
"Review", XLOOKUP(D39, Timeline!A:A, Timeline!F:F),
"Blocked", XLOOKUP(D39, Timeline!A:A, Timeline!G:G),
7
),
G39
)
)</f>
        <v>46230</v>
      </c>
      <c r="M39" s="3"/>
      <c r="N39" s="3"/>
    </row>
    <row r="40">
      <c r="A40" s="3" t="str">
        <f t="shared" si="1"/>
        <v>Program Reporting &amp; Delivery Governance</v>
      </c>
      <c r="B40" s="4" t="str">
        <f t="shared" si="2"/>
        <v>SEC-039</v>
      </c>
      <c r="C40" s="3" t="str">
        <f t="shared" si="3"/>
        <v>Establish weekly reporting cadence</v>
      </c>
      <c r="D40" s="5" t="str">
        <f t="shared" si="4"/>
        <v>Planning &amp; Pilot</v>
      </c>
      <c r="E40" s="5" t="str">
        <f>IFERROR(VLOOKUP(B40,Rules!A:F,2,FALSE),"")</f>
        <v>PMO / Governance Support</v>
      </c>
      <c r="F40" s="5" t="str">
        <f>IFERROR(VLOOKUP(B40,Rules!A:F,3,FALSE),"")</f>
        <v>High</v>
      </c>
      <c r="G40" s="6">
        <v>46193.0</v>
      </c>
      <c r="H40" s="5" t="str">
        <f>IFERROR(VLOOKUP(B40,Rules!A:F,6,FALSE),"")</f>
        <v/>
      </c>
      <c r="I40" s="3" t="s">
        <v>14</v>
      </c>
      <c r="J40" s="5" t="str">
        <f>IFERROR(VLOOKUP(B40,Rules!A:F,5,FALSE),"")</f>
        <v>Low</v>
      </c>
      <c r="L40" s="6">
        <f t="array" ref="L40">IF(
I40="Done",
G40,
IF(
G40&lt;TODAY(),
TODAY()+
SWITCH(
I40,
"To Do", XLOOKUP(D40, Timeline!A:A, Timeline!D:D),
"In Progress", XLOOKUP(D40, Timeline!A:A, Timeline!E:E),
"Review", XLOOKUP(D40, Timeline!A:A, Timeline!F:F),
"Blocked", XLOOKUP(D40, Timeline!A:A, Timeline!G:G),
7
),
G40
)
)</f>
        <v>46193</v>
      </c>
      <c r="M40" s="3"/>
      <c r="N40" s="3"/>
    </row>
    <row r="41">
      <c r="A41" s="3" t="str">
        <f t="shared" si="1"/>
        <v>Program Reporting &amp; Delivery Governance</v>
      </c>
      <c r="B41" s="4" t="str">
        <f t="shared" si="2"/>
        <v>SEC-040</v>
      </c>
      <c r="C41" s="3" t="str">
        <f t="shared" si="3"/>
        <v>Build RAID log template</v>
      </c>
      <c r="D41" s="5" t="str">
        <f t="shared" si="4"/>
        <v>Planning &amp; Pilot</v>
      </c>
      <c r="E41" s="5" t="str">
        <f>IFERROR(VLOOKUP(B41,Rules!A:F,2,FALSE),"")</f>
        <v>PMO / Governance Support</v>
      </c>
      <c r="F41" s="5" t="str">
        <f>IFERROR(VLOOKUP(B41,Rules!A:F,3,FALSE),"")</f>
        <v>High</v>
      </c>
      <c r="G41" s="6">
        <v>46180.0</v>
      </c>
      <c r="H41" s="5" t="str">
        <f>IFERROR(VLOOKUP(B41,Rules!A:F,6,FALSE),"")</f>
        <v>SEC-039</v>
      </c>
      <c r="I41" s="3" t="s">
        <v>14</v>
      </c>
      <c r="J41" s="5" t="str">
        <f>IFERROR(VLOOKUP(B41,Rules!A:F,5,FALSE),"")</f>
        <v>Low</v>
      </c>
      <c r="L41" s="6">
        <f t="array" ref="L41">IF(
I41="Done",
G41,
IF(
G41&lt;TODAY(),
TODAY()+
SWITCH(
I41,
"To Do", XLOOKUP(D41, Timeline!A:A, Timeline!D:D),
"In Progress", XLOOKUP(D41, Timeline!A:A, Timeline!E:E),
"Review", XLOOKUP(D41, Timeline!A:A, Timeline!F:F),
"Blocked", XLOOKUP(D41, Timeline!A:A, Timeline!G:G),
7
),
G41
)
)</f>
        <v>46180</v>
      </c>
      <c r="M41" s="3"/>
      <c r="N41" s="3"/>
    </row>
    <row r="42">
      <c r="A42" s="3" t="str">
        <f t="shared" si="1"/>
        <v>Program Reporting &amp; Delivery Governance</v>
      </c>
      <c r="B42" s="4" t="str">
        <f t="shared" si="2"/>
        <v>SEC-041</v>
      </c>
      <c r="C42" s="3" t="str">
        <f t="shared" si="3"/>
        <v>Create executive status report template</v>
      </c>
      <c r="D42" s="5" t="str">
        <f t="shared" si="4"/>
        <v>Planning &amp; Pilot</v>
      </c>
      <c r="E42" s="5" t="str">
        <f>IFERROR(VLOOKUP(B42,Rules!A:F,2,FALSE),"")</f>
        <v>PMO / Governance Support</v>
      </c>
      <c r="F42" s="5" t="str">
        <f>IFERROR(VLOOKUP(B42,Rules!A:F,3,FALSE),"")</f>
        <v>High</v>
      </c>
      <c r="G42" s="6">
        <v>46192.0</v>
      </c>
      <c r="H42" s="5" t="str">
        <f>IFERROR(VLOOKUP(B42,Rules!A:F,6,FALSE),"")</f>
        <v>SEC-039, SEC-040</v>
      </c>
      <c r="I42" s="5" t="str">
        <f>IFERROR(VLOOKUP(B42,Rules!A:F,4,FALSE),"")</f>
        <v>In Progress</v>
      </c>
      <c r="J42" s="5" t="str">
        <f>IFERROR(VLOOKUP(B42,Rules!A:F,5,FALSE),"")</f>
        <v>Low</v>
      </c>
      <c r="K42" s="3" t="s">
        <v>30</v>
      </c>
      <c r="L42" s="6">
        <f t="array" ref="L42">IF(
I42="Done",
G42,
IF(
G42&lt;TODAY(),
TODAY()+
SWITCH(
I42,
"To Do", XLOOKUP(D42, Timeline!A:A, Timeline!D:D),
"In Progress", XLOOKUP(D42, Timeline!A:A, Timeline!E:E),
"Review", XLOOKUP(D42, Timeline!A:A, Timeline!F:F),
"Blocked", XLOOKUP(D42, Timeline!A:A, Timeline!G:G),
7
),
G42
)
)</f>
        <v>46192</v>
      </c>
      <c r="M42" s="3"/>
      <c r="N42" s="3"/>
    </row>
    <row r="43">
      <c r="A43" s="3" t="str">
        <f t="shared" si="1"/>
        <v>Program Reporting &amp; Delivery Governance</v>
      </c>
      <c r="B43" s="4" t="str">
        <f t="shared" si="2"/>
        <v>SEC-042</v>
      </c>
      <c r="C43" s="3" t="str">
        <f t="shared" si="3"/>
        <v>Establish milestone tracking framework</v>
      </c>
      <c r="D43" s="5" t="str">
        <f t="shared" si="4"/>
        <v>Planning &amp; Pilot</v>
      </c>
      <c r="E43" s="5" t="str">
        <f>IFERROR(VLOOKUP(B43,Rules!A:F,2,FALSE),"")</f>
        <v>PMO / Governance Support</v>
      </c>
      <c r="F43" s="5" t="str">
        <f>IFERROR(VLOOKUP(B43,Rules!A:F,3,FALSE),"")</f>
        <v>High</v>
      </c>
      <c r="G43" s="6">
        <v>46177.0</v>
      </c>
      <c r="H43" s="5" t="str">
        <f>IFERROR(VLOOKUP(B43,Rules!A:F,6,FALSE),"")</f>
        <v>SEC-040</v>
      </c>
      <c r="I43" s="3" t="s">
        <v>14</v>
      </c>
      <c r="J43" s="5" t="str">
        <f>IFERROR(VLOOKUP(B43,Rules!A:F,5,FALSE),"")</f>
        <v>Low</v>
      </c>
      <c r="L43" s="6">
        <f t="array" ref="L43">IF(
I43="Done",
G43,
IF(
G43&lt;TODAY(),
TODAY()+
SWITCH(
I43,
"To Do", XLOOKUP(D43, Timeline!A:A, Timeline!D:D),
"In Progress", XLOOKUP(D43, Timeline!A:A, Timeline!E:E),
"Review", XLOOKUP(D43, Timeline!A:A, Timeline!F:F),
"Blocked", XLOOKUP(D43, Timeline!A:A, Timeline!G:G),
7
),
G43
)
)</f>
        <v>46177</v>
      </c>
      <c r="M43" s="3"/>
      <c r="N43" s="3"/>
    </row>
    <row r="44">
      <c r="A44" s="3" t="str">
        <f t="shared" si="1"/>
        <v>Program Reporting &amp; Delivery Governance</v>
      </c>
      <c r="B44" s="4" t="str">
        <f t="shared" si="2"/>
        <v>SEC-043</v>
      </c>
      <c r="C44" s="3" t="str">
        <f t="shared" si="3"/>
        <v>Conduct weekly program status review</v>
      </c>
      <c r="D44" s="5" t="str">
        <f t="shared" si="4"/>
        <v>Rollout &amp; Adoption</v>
      </c>
      <c r="E44" s="5" t="str">
        <f>IFERROR(VLOOKUP(B44,Rules!A:F,2,FALSE),"")</f>
        <v>Security Transformation Lead</v>
      </c>
      <c r="F44" s="5" t="str">
        <f>IFERROR(VLOOKUP(B44,Rules!A:F,3,FALSE),"")</f>
        <v>High</v>
      </c>
      <c r="G44" s="6">
        <v>46235.0</v>
      </c>
      <c r="H44" s="5" t="str">
        <f>IFERROR(VLOOKUP(B44,Rules!A:F,6,FALSE),"")</f>
        <v>SEC-041, SEC-042</v>
      </c>
      <c r="I44" s="5" t="str">
        <f>IFERROR(VLOOKUP(B44,Rules!A:F,4,FALSE),"")</f>
        <v>To Do</v>
      </c>
      <c r="J44" s="5" t="str">
        <f>IFERROR(VLOOKUP(B44,Rules!A:F,5,FALSE),"")</f>
        <v>Low</v>
      </c>
      <c r="L44" s="6">
        <f t="array" ref="L44">IF(
I44="Done",
G44,
IF(
G44&lt;TODAY(),
TODAY()+
SWITCH(
I44,
"To Do", XLOOKUP(D44, Timeline!A:A, Timeline!D:D),
"In Progress", XLOOKUP(D44, Timeline!A:A, Timeline!E:E),
"Review", XLOOKUP(D44, Timeline!A:A, Timeline!F:F),
"Blocked", XLOOKUP(D44, Timeline!A:A, Timeline!G:G),
7
),
G44
)
)</f>
        <v>46235</v>
      </c>
      <c r="M44" s="3"/>
      <c r="N44" s="3"/>
    </row>
    <row r="45">
      <c r="A45" s="3" t="str">
        <f t="shared" si="1"/>
        <v>Program Reporting &amp; Delivery Governance</v>
      </c>
      <c r="B45" s="4" t="str">
        <f t="shared" si="2"/>
        <v>SEC-044</v>
      </c>
      <c r="C45" s="3" t="str">
        <f t="shared" si="3"/>
        <v>Compile monthly executive updates</v>
      </c>
      <c r="D45" s="5" t="str">
        <f t="shared" si="4"/>
        <v>Stabilization &amp; Reporting</v>
      </c>
      <c r="E45" s="5" t="str">
        <f>IFERROR(VLOOKUP(B45,Rules!A:F,2,FALSE),"")</f>
        <v>Security Transformation Lead</v>
      </c>
      <c r="F45" s="3" t="s">
        <v>20</v>
      </c>
      <c r="G45" s="6">
        <v>46290.0</v>
      </c>
      <c r="H45" s="5" t="str">
        <f>IFERROR(VLOOKUP(B45,Rules!A:F,6,FALSE),"")</f>
        <v>SEC-043</v>
      </c>
      <c r="I45" s="5" t="str">
        <f>IFERROR(VLOOKUP(B45,Rules!A:F,4,FALSE),"")</f>
        <v>To Do</v>
      </c>
      <c r="J45" s="5" t="str">
        <f>IFERROR(VLOOKUP(B45,Rules!A:F,5,FALSE),"")</f>
        <v>Low</v>
      </c>
      <c r="K45" s="3" t="s">
        <v>31</v>
      </c>
      <c r="L45" s="6">
        <f t="array" ref="L45">IF(
I45="Done",
G45,
IF(
G45&lt;TODAY(),
TODAY()+
SWITCH(
I45,
"To Do", XLOOKUP(D45, Timeline!A:A, Timeline!D:D),
"In Progress", XLOOKUP(D45, Timeline!A:A, Timeline!E:E),
"Review", XLOOKUP(D45, Timeline!A:A, Timeline!F:F),
"Blocked", XLOOKUP(D45, Timeline!A:A, Timeline!G:G),
7
),
G45
)
)</f>
        <v>46290</v>
      </c>
      <c r="M45" s="7">
        <v>46164.0</v>
      </c>
      <c r="N45" s="7"/>
    </row>
  </sheetData>
  <conditionalFormatting sqref="I1:I1000">
    <cfRule type="containsText" dxfId="0" priority="1" operator="containsText" text="Done">
      <formula>NOT(ISERROR(SEARCH(("Done"),(I1))))</formula>
    </cfRule>
  </conditionalFormatting>
  <conditionalFormatting sqref="I1:I1000">
    <cfRule type="containsText" dxfId="1" priority="2" operator="containsText" text="In Progress">
      <formula>NOT(ISERROR(SEARCH(("In Progress"),(I1))))</formula>
    </cfRule>
  </conditionalFormatting>
  <conditionalFormatting sqref="I1:I1000">
    <cfRule type="containsText" dxfId="2" priority="3" operator="containsText" text="Review">
      <formula>NOT(ISERROR(SEARCH(("Review"),(I1))))</formula>
    </cfRule>
  </conditionalFormatting>
  <conditionalFormatting sqref="I1:I1000">
    <cfRule type="containsText" dxfId="3" priority="4" operator="containsText" text="Blocked">
      <formula>NOT(ISERROR(SEARCH(("Blocked"),(I1))))</formula>
    </cfRule>
  </conditionalFormatting>
  <conditionalFormatting sqref="I1:I1000">
    <cfRule type="containsText" dxfId="4" priority="5" operator="containsText" text="To Do">
      <formula>NOT(ISERROR(SEARCH(("To Do"),(I1))))</formula>
    </cfRule>
  </conditionalFormatting>
  <conditionalFormatting sqref="J1:J1000">
    <cfRule type="containsText" dxfId="0" priority="6" operator="containsText" text="Low">
      <formula>NOT(ISERROR(SEARCH(("Low"),(J1))))</formula>
    </cfRule>
  </conditionalFormatting>
  <conditionalFormatting sqref="J1:J1000">
    <cfRule type="containsText" dxfId="2" priority="7" operator="containsText" text="Medium">
      <formula>NOT(ISERROR(SEARCH(("Medium"),(J1))))</formula>
    </cfRule>
  </conditionalFormatting>
  <conditionalFormatting sqref="J1:J1000">
    <cfRule type="containsText" dxfId="3" priority="8" operator="containsText" text="High">
      <formula>NOT(ISERROR(SEARCH(("High"),(J1))))</formula>
    </cfRule>
  </conditionalFormatting>
  <conditionalFormatting sqref="F1:F1000">
    <cfRule type="containsText" dxfId="3" priority="9" operator="containsText" text="High">
      <formula>NOT(ISERROR(SEARCH(("High"),(F1))))</formula>
    </cfRule>
  </conditionalFormatting>
  <conditionalFormatting sqref="F1:F1000">
    <cfRule type="containsText" dxfId="2" priority="10" operator="containsText" text="Medium">
      <formula>NOT(ISERROR(SEARCH(("Medium"),(F1))))</formula>
    </cfRule>
  </conditionalFormatting>
  <conditionalFormatting sqref="F1:F1000">
    <cfRule type="containsText" dxfId="0" priority="11" operator="containsText" text="Low">
      <formula>NOT(ISERROR(SEARCH(("Low"),(F1))))</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32</v>
      </c>
      <c r="B1" s="1" t="s">
        <v>33</v>
      </c>
      <c r="C1" s="1" t="s">
        <v>34</v>
      </c>
      <c r="D1" s="2" t="s">
        <v>35</v>
      </c>
      <c r="E1" s="2" t="s">
        <v>36</v>
      </c>
      <c r="F1" s="2" t="s">
        <v>37</v>
      </c>
      <c r="G1" s="2" t="s">
        <v>38</v>
      </c>
      <c r="H1" s="1" t="s">
        <v>39</v>
      </c>
      <c r="L1" s="8" t="s">
        <v>40</v>
      </c>
    </row>
    <row r="2">
      <c r="A2" s="3" t="s">
        <v>3</v>
      </c>
      <c r="B2" s="3" t="s">
        <v>41</v>
      </c>
      <c r="C2" s="3" t="s">
        <v>42</v>
      </c>
      <c r="D2" s="4" t="s">
        <v>43</v>
      </c>
      <c r="E2" s="4" t="s">
        <v>44</v>
      </c>
      <c r="F2" s="4" t="s">
        <v>45</v>
      </c>
      <c r="G2" s="4" t="s">
        <v>46</v>
      </c>
      <c r="H2" s="3" t="s">
        <v>47</v>
      </c>
      <c r="L2" s="5" t="str">
        <f>IFS(</f>
        <v>#ERROR!</v>
      </c>
    </row>
    <row r="3">
      <c r="A3" s="3" t="s">
        <v>48</v>
      </c>
      <c r="B3" s="9">
        <v>46174.0</v>
      </c>
      <c r="C3" s="9">
        <v>46201.0</v>
      </c>
      <c r="D3" s="4">
        <v>14.0</v>
      </c>
      <c r="E3" s="4">
        <v>10.0</v>
      </c>
      <c r="F3" s="4">
        <v>5.0</v>
      </c>
      <c r="G3" s="4">
        <v>7.0</v>
      </c>
      <c r="H3" s="3" t="b">
        <v>1</v>
      </c>
      <c r="L3" s="3" t="s">
        <v>49</v>
      </c>
    </row>
    <row r="4">
      <c r="A4" s="3" t="s">
        <v>50</v>
      </c>
      <c r="B4" s="9">
        <v>46202.0</v>
      </c>
      <c r="C4" s="9">
        <v>46285.0</v>
      </c>
      <c r="D4" s="4">
        <v>21.0</v>
      </c>
      <c r="E4" s="4">
        <v>14.0</v>
      </c>
      <c r="F4" s="4">
        <v>7.0</v>
      </c>
      <c r="G4" s="4">
        <v>10.0</v>
      </c>
      <c r="H4" s="3" t="b">
        <v>1</v>
      </c>
      <c r="L4" s="3" t="s">
        <v>51</v>
      </c>
    </row>
    <row r="5">
      <c r="A5" s="3" t="s">
        <v>52</v>
      </c>
      <c r="B5" s="10">
        <v>46286.0</v>
      </c>
      <c r="C5" s="10">
        <v>46341.0</v>
      </c>
      <c r="D5" s="4">
        <v>30.0</v>
      </c>
      <c r="E5" s="4">
        <v>21.0</v>
      </c>
      <c r="F5" s="4">
        <v>7.0</v>
      </c>
      <c r="G5" s="4">
        <v>14.0</v>
      </c>
      <c r="H5" s="3" t="b">
        <v>1</v>
      </c>
      <c r="L5" s="3" t="s">
        <v>53</v>
      </c>
    </row>
    <row r="6">
      <c r="E6" s="3" t="s">
        <v>54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63"/>
    <col customWidth="1" min="3" max="3" width="14.13"/>
  </cols>
  <sheetData>
    <row r="1">
      <c r="A1" s="1" t="s">
        <v>1</v>
      </c>
      <c r="B1" s="1" t="s">
        <v>4</v>
      </c>
      <c r="C1" s="1" t="s">
        <v>5</v>
      </c>
      <c r="D1" s="1" t="s">
        <v>8</v>
      </c>
      <c r="E1" s="1" t="s">
        <v>9</v>
      </c>
      <c r="F1" s="1" t="s">
        <v>7</v>
      </c>
    </row>
    <row r="2">
      <c r="A2" s="5" t="str">
        <f t="shared" ref="A2:A45" si="1">"SEC-"&amp;TEXT(ROW()-1,"000")</f>
        <v>SEC-001</v>
      </c>
      <c r="B2" s="5" t="str">
        <f t="shared" ref="B2:B45" si="2">IFS(
VALUE(RIGHT(A2,3))&lt;=3,"IT Security Team",
VALUE(RIGHT(A2,3))=4,"PMO / Governance Support",
VALUE(RIGHT(A2,3))&lt;=6,"IT Security Team",
VALUE(RIGHT(A2,3))=7,"Help Desk Lead",
VALUE(RIGHT(A2,3))&lt;=10,"Security Transformation Lead",
VALUE(RIGHT(A2,3))&lt;=13,"HR &amp; Training Team",
VALUE(RIGHT(A2,3))=14,"IT Security Team",
VALUE(RIGHT(A2,3))&lt;=16,"HR &amp; Training Team",
VALUE(RIGHT(A2,3))=17,"PMO / Governance Support",
VALUE(RIGHT(A2,3))=18,"HR &amp; Training Team",
VALUE(RIGHT(A2,3))=19,"Security Transformation Lead",
VALUE(RIGHT(A2,3))=20,"HR &amp; Training Team",
VALUE(RIGHT(A2,3))&lt;=22,"PMO / Governance Support",
VALUE(RIGHT(A2,3))=23,"IT Security Team",
VALUE(RIGHT(A2,3))&lt;=25,"PMO / Governance Support",
VALUE(RIGHT(A2,3))=26,"Department Managers",
VALUE(RIGHT(A2,3))&lt;=30,"IT Security Team",
VALUE(RIGHT(A2,3))=31,"Department Managers",
VALUE(RIGHT(A2,3))=32,"Security Transformation Lead",
VALUE(RIGHT(A2,3))&lt;=37,"PMO / Governance Support",
VALUE(RIGHT(A2,3))=38,"Department Managers",
VALUE(RIGHT(A2,3))&lt;=42,"PMO / Governance Support",
VALUE(RIGHT(A2,3))&lt;=44,"Security Transformation Lead"
)</f>
        <v>IT Security Team</v>
      </c>
      <c r="C2" s="5" t="str">
        <f t="shared" ref="C2:C45" si="3">IFS(
OR(
VALUE(RIGHT(A2,3))&lt;=10,
VALUE(RIGHT(A2,3))=16,
VALUE(RIGHT(A2,3))=25,
VALUE(RIGHT(A2,3))=32,
VALUE(RIGHT(A2,3))&gt;=39
),"High",
OR(
AND(VALUE(RIGHT(A2,3))&gt;=11,VALUE(RIGHT(A2,3))&lt;=20),
AND(VALUE(RIGHT(A2,3))&gt;=21,VALUE(RIGHT(A2,3))&lt;=38)
),"Medium",
TRUE,"Low"
)</f>
        <v>High</v>
      </c>
      <c r="D2" s="5" t="str">
        <f t="shared" ref="D2:D45" si="4">IFS(
OR(
VALUE(RIGHT(A2,3))=1,
VALUE(RIGHT(A2,3))=2,
VALUE(RIGHT(A2,3))=11,
VALUE(RIGHT(A2,3))=21,
VALUE(RIGHT(A2,3))=33,
VALUE(RIGHT(A2,3))=39
),"Done",
OR(
VALUE(RIGHT(A2,3))=4,
VALUE(RIGHT(A2,3))=13,
VALUE(RIGHT(A2,3))=22,
VALUE(RIGHT(A2,3))=29,
VALUE(RIGHT(A2,3))=34,
VALUE(RIGHT(A2,3))=41
),"In Progress",
OR(
VALUE(RIGHT(A2,3))=14,
VALUE(RIGHT(A2,3))=23,
VALUE(RIGHT(A2,3))=30
),"Review",
OR(
VALUE(RIGHT(A2,3))=6,
VALUE(RIGHT(A2,3))=16,
VALUE(RIGHT(A2,3))=32
),"Blocked",
TRUE,"To Do"
)</f>
        <v>Done</v>
      </c>
      <c r="E2" s="5" t="str">
        <f t="shared" ref="E2:E45" si="5">IFS(
OR(
VALUE(RIGHT(A2,3))=6,
VALUE(RIGHT(A2,3))=16,
VALUE(RIGHT(A2,3))=25,
VALUE(RIGHT(A2,3))=32
),"High",
OR(
AND(VALUE(RIGHT(A2,3))&gt;=1,VALUE(RIGHT(A2,3))&lt;=10),
AND(VALUE(RIGHT(A2,3))&gt;=11,VALUE(RIGHT(A2,3))&lt;=20),
AND(VALUE(RIGHT(A2,3))&gt;=21,VALUE(RIGHT(A2,3))&lt;=32)
),"Medium",
TRUE,"Low"
)</f>
        <v>Medium</v>
      </c>
      <c r="F2" s="5" t="str">
        <f t="shared" ref="F2:F45" si="6">SWITCH(
VALUE(RIGHT(A2,3)),
6,"SEC-002, SEC-005",
7,"SEC-006",
8,"SEC-006",
9,"SEC-008",
10,"SEC-008, SEC-009",
13,"SEC-012",
14,"SEC-012",
15,"SEC-013, SEC-014",
16,"SEC-013, SEC-015",
17,"SEC-016",
22,"SEC-021",
23,"SEC-021",
24,"SEC-022, SEC-023",
25,"SEC-022, SEC-023, SEC-024",
26,"SEC-025",
29,"SEC-027, SEC-028",
30,"SEC-029",
31,"SEC-029, SEC-030",
32,"SEC-029, SEC-030, SEC-031",
34,"SEC-033",
35,"SEC-034",
36,"SEC-034",
37,"SEC-035",
38,"SEC-036",
40,"SEC-039",
41,"SEC-039, SEC-040",
42,"SEC-040",
43,"SEC-041, SEC-042",
44,"SEC-043",
""
)</f>
        <v/>
      </c>
    </row>
    <row r="3">
      <c r="A3" s="5" t="str">
        <f t="shared" si="1"/>
        <v>SEC-002</v>
      </c>
      <c r="B3" s="5" t="str">
        <f t="shared" si="2"/>
        <v>IT Security Team</v>
      </c>
      <c r="C3" s="5" t="str">
        <f t="shared" si="3"/>
        <v>High</v>
      </c>
      <c r="D3" s="5" t="str">
        <f t="shared" si="4"/>
        <v>Done</v>
      </c>
      <c r="E3" s="5" t="str">
        <f t="shared" si="5"/>
        <v>Medium</v>
      </c>
      <c r="F3" s="5" t="str">
        <f t="shared" si="6"/>
        <v/>
      </c>
    </row>
    <row r="4">
      <c r="A4" s="5" t="str">
        <f t="shared" si="1"/>
        <v>SEC-003</v>
      </c>
      <c r="B4" s="5" t="str">
        <f t="shared" si="2"/>
        <v>IT Security Team</v>
      </c>
      <c r="C4" s="5" t="str">
        <f t="shared" si="3"/>
        <v>High</v>
      </c>
      <c r="D4" s="5" t="str">
        <f t="shared" si="4"/>
        <v>To Do</v>
      </c>
      <c r="E4" s="5" t="str">
        <f t="shared" si="5"/>
        <v>Medium</v>
      </c>
      <c r="F4" s="5" t="str">
        <f t="shared" si="6"/>
        <v/>
      </c>
    </row>
    <row r="5">
      <c r="A5" s="5" t="str">
        <f t="shared" si="1"/>
        <v>SEC-004</v>
      </c>
      <c r="B5" s="5" t="str">
        <f t="shared" si="2"/>
        <v>PMO / Governance Support</v>
      </c>
      <c r="C5" s="5" t="str">
        <f t="shared" si="3"/>
        <v>High</v>
      </c>
      <c r="D5" s="5" t="str">
        <f t="shared" si="4"/>
        <v>In Progress</v>
      </c>
      <c r="E5" s="5" t="str">
        <f t="shared" si="5"/>
        <v>Medium</v>
      </c>
      <c r="F5" s="5" t="str">
        <f t="shared" si="6"/>
        <v/>
      </c>
    </row>
    <row r="6">
      <c r="A6" s="5" t="str">
        <f t="shared" si="1"/>
        <v>SEC-005</v>
      </c>
      <c r="B6" s="5" t="str">
        <f t="shared" si="2"/>
        <v>IT Security Team</v>
      </c>
      <c r="C6" s="5" t="str">
        <f t="shared" si="3"/>
        <v>High</v>
      </c>
      <c r="D6" s="5" t="str">
        <f t="shared" si="4"/>
        <v>To Do</v>
      </c>
      <c r="E6" s="5" t="str">
        <f t="shared" si="5"/>
        <v>Medium</v>
      </c>
      <c r="F6" s="5" t="str">
        <f t="shared" si="6"/>
        <v/>
      </c>
    </row>
    <row r="7">
      <c r="A7" s="5" t="str">
        <f t="shared" si="1"/>
        <v>SEC-006</v>
      </c>
      <c r="B7" s="5" t="str">
        <f t="shared" si="2"/>
        <v>IT Security Team</v>
      </c>
      <c r="C7" s="5" t="str">
        <f t="shared" si="3"/>
        <v>High</v>
      </c>
      <c r="D7" s="5" t="str">
        <f t="shared" si="4"/>
        <v>Blocked</v>
      </c>
      <c r="E7" s="5" t="str">
        <f t="shared" si="5"/>
        <v>High</v>
      </c>
      <c r="F7" s="5" t="str">
        <f t="shared" si="6"/>
        <v>SEC-002, SEC-005</v>
      </c>
    </row>
    <row r="8">
      <c r="A8" s="5" t="str">
        <f t="shared" si="1"/>
        <v>SEC-007</v>
      </c>
      <c r="B8" s="5" t="str">
        <f t="shared" si="2"/>
        <v>Help Desk Lead</v>
      </c>
      <c r="C8" s="5" t="str">
        <f t="shared" si="3"/>
        <v>High</v>
      </c>
      <c r="D8" s="5" t="str">
        <f t="shared" si="4"/>
        <v>To Do</v>
      </c>
      <c r="E8" s="5" t="str">
        <f t="shared" si="5"/>
        <v>Medium</v>
      </c>
      <c r="F8" s="5" t="str">
        <f t="shared" si="6"/>
        <v>SEC-006</v>
      </c>
    </row>
    <row r="9">
      <c r="A9" s="5" t="str">
        <f t="shared" si="1"/>
        <v>SEC-008</v>
      </c>
      <c r="B9" s="5" t="str">
        <f t="shared" si="2"/>
        <v>Security Transformation Lead</v>
      </c>
      <c r="C9" s="5" t="str">
        <f t="shared" si="3"/>
        <v>High</v>
      </c>
      <c r="D9" s="5" t="str">
        <f t="shared" si="4"/>
        <v>To Do</v>
      </c>
      <c r="E9" s="5" t="str">
        <f t="shared" si="5"/>
        <v>Medium</v>
      </c>
      <c r="F9" s="5" t="str">
        <f t="shared" si="6"/>
        <v>SEC-006</v>
      </c>
    </row>
    <row r="10">
      <c r="A10" s="5" t="str">
        <f t="shared" si="1"/>
        <v>SEC-009</v>
      </c>
      <c r="B10" s="5" t="str">
        <f t="shared" si="2"/>
        <v>Security Transformation Lead</v>
      </c>
      <c r="C10" s="5" t="str">
        <f t="shared" si="3"/>
        <v>High</v>
      </c>
      <c r="D10" s="5" t="str">
        <f t="shared" si="4"/>
        <v>To Do</v>
      </c>
      <c r="E10" s="5" t="str">
        <f t="shared" si="5"/>
        <v>Medium</v>
      </c>
      <c r="F10" s="5" t="str">
        <f t="shared" si="6"/>
        <v>SEC-008</v>
      </c>
    </row>
    <row r="11">
      <c r="A11" s="5" t="str">
        <f t="shared" si="1"/>
        <v>SEC-010</v>
      </c>
      <c r="B11" s="5" t="str">
        <f t="shared" si="2"/>
        <v>Security Transformation Lead</v>
      </c>
      <c r="C11" s="5" t="str">
        <f t="shared" si="3"/>
        <v>High</v>
      </c>
      <c r="D11" s="5" t="str">
        <f t="shared" si="4"/>
        <v>To Do</v>
      </c>
      <c r="E11" s="5" t="str">
        <f t="shared" si="5"/>
        <v>Medium</v>
      </c>
      <c r="F11" s="5" t="str">
        <f t="shared" si="6"/>
        <v>SEC-008, SEC-009</v>
      </c>
    </row>
    <row r="12">
      <c r="A12" s="5" t="str">
        <f t="shared" si="1"/>
        <v>SEC-011</v>
      </c>
      <c r="B12" s="5" t="str">
        <f t="shared" si="2"/>
        <v>HR &amp; Training Team</v>
      </c>
      <c r="C12" s="5" t="str">
        <f t="shared" si="3"/>
        <v>Medium</v>
      </c>
      <c r="D12" s="5" t="str">
        <f t="shared" si="4"/>
        <v>Done</v>
      </c>
      <c r="E12" s="5" t="str">
        <f t="shared" si="5"/>
        <v>Medium</v>
      </c>
      <c r="F12" s="5" t="str">
        <f t="shared" si="6"/>
        <v/>
      </c>
    </row>
    <row r="13">
      <c r="A13" s="5" t="str">
        <f t="shared" si="1"/>
        <v>SEC-012</v>
      </c>
      <c r="B13" s="5" t="str">
        <f t="shared" si="2"/>
        <v>HR &amp; Training Team</v>
      </c>
      <c r="C13" s="5" t="str">
        <f t="shared" si="3"/>
        <v>Medium</v>
      </c>
      <c r="D13" s="5" t="str">
        <f t="shared" si="4"/>
        <v>To Do</v>
      </c>
      <c r="E13" s="5" t="str">
        <f t="shared" si="5"/>
        <v>Medium</v>
      </c>
      <c r="F13" s="5" t="str">
        <f t="shared" si="6"/>
        <v/>
      </c>
    </row>
    <row r="14">
      <c r="A14" s="5" t="str">
        <f t="shared" si="1"/>
        <v>SEC-013</v>
      </c>
      <c r="B14" s="5" t="str">
        <f t="shared" si="2"/>
        <v>HR &amp; Training Team</v>
      </c>
      <c r="C14" s="5" t="str">
        <f t="shared" si="3"/>
        <v>Medium</v>
      </c>
      <c r="D14" s="5" t="str">
        <f t="shared" si="4"/>
        <v>In Progress</v>
      </c>
      <c r="E14" s="5" t="str">
        <f t="shared" si="5"/>
        <v>Medium</v>
      </c>
      <c r="F14" s="5" t="str">
        <f t="shared" si="6"/>
        <v>SEC-012</v>
      </c>
    </row>
    <row r="15">
      <c r="A15" s="5" t="str">
        <f t="shared" si="1"/>
        <v>SEC-014</v>
      </c>
      <c r="B15" s="5" t="str">
        <f t="shared" si="2"/>
        <v>IT Security Team</v>
      </c>
      <c r="C15" s="5" t="str">
        <f t="shared" si="3"/>
        <v>Medium</v>
      </c>
      <c r="D15" s="5" t="str">
        <f t="shared" si="4"/>
        <v>Review</v>
      </c>
      <c r="E15" s="5" t="str">
        <f t="shared" si="5"/>
        <v>Medium</v>
      </c>
      <c r="F15" s="5" t="str">
        <f t="shared" si="6"/>
        <v>SEC-012</v>
      </c>
    </row>
    <row r="16">
      <c r="A16" s="5" t="str">
        <f t="shared" si="1"/>
        <v>SEC-015</v>
      </c>
      <c r="B16" s="5" t="str">
        <f t="shared" si="2"/>
        <v>HR &amp; Training Team</v>
      </c>
      <c r="C16" s="5" t="str">
        <f t="shared" si="3"/>
        <v>Medium</v>
      </c>
      <c r="D16" s="5" t="str">
        <f t="shared" si="4"/>
        <v>To Do</v>
      </c>
      <c r="E16" s="5" t="str">
        <f t="shared" si="5"/>
        <v>Medium</v>
      </c>
      <c r="F16" s="5" t="str">
        <f t="shared" si="6"/>
        <v>SEC-013, SEC-014</v>
      </c>
    </row>
    <row r="17">
      <c r="A17" s="5" t="str">
        <f t="shared" si="1"/>
        <v>SEC-016</v>
      </c>
      <c r="B17" s="5" t="str">
        <f t="shared" si="2"/>
        <v>HR &amp; Training Team</v>
      </c>
      <c r="C17" s="5" t="str">
        <f t="shared" si="3"/>
        <v>High</v>
      </c>
      <c r="D17" s="5" t="str">
        <f t="shared" si="4"/>
        <v>Blocked</v>
      </c>
      <c r="E17" s="5" t="str">
        <f t="shared" si="5"/>
        <v>High</v>
      </c>
      <c r="F17" s="5" t="str">
        <f t="shared" si="6"/>
        <v>SEC-013, SEC-015</v>
      </c>
    </row>
    <row r="18">
      <c r="A18" s="5" t="str">
        <f t="shared" si="1"/>
        <v>SEC-017</v>
      </c>
      <c r="B18" s="5" t="str">
        <f t="shared" si="2"/>
        <v>PMO / Governance Support</v>
      </c>
      <c r="C18" s="5" t="str">
        <f t="shared" si="3"/>
        <v>Medium</v>
      </c>
      <c r="D18" s="5" t="str">
        <f t="shared" si="4"/>
        <v>To Do</v>
      </c>
      <c r="E18" s="5" t="str">
        <f t="shared" si="5"/>
        <v>Medium</v>
      </c>
      <c r="F18" s="5" t="str">
        <f t="shared" si="6"/>
        <v>SEC-016</v>
      </c>
    </row>
    <row r="19">
      <c r="A19" s="5" t="str">
        <f t="shared" si="1"/>
        <v>SEC-018</v>
      </c>
      <c r="B19" s="5" t="str">
        <f t="shared" si="2"/>
        <v>HR &amp; Training Team</v>
      </c>
      <c r="C19" s="5" t="str">
        <f t="shared" si="3"/>
        <v>Medium</v>
      </c>
      <c r="D19" s="5" t="str">
        <f t="shared" si="4"/>
        <v>To Do</v>
      </c>
      <c r="E19" s="5" t="str">
        <f t="shared" si="5"/>
        <v>Medium</v>
      </c>
      <c r="F19" s="5" t="str">
        <f t="shared" si="6"/>
        <v/>
      </c>
    </row>
    <row r="20">
      <c r="A20" s="5" t="str">
        <f t="shared" si="1"/>
        <v>SEC-019</v>
      </c>
      <c r="B20" s="5" t="str">
        <f t="shared" si="2"/>
        <v>Security Transformation Lead</v>
      </c>
      <c r="C20" s="5" t="str">
        <f t="shared" si="3"/>
        <v>Medium</v>
      </c>
      <c r="D20" s="5" t="str">
        <f t="shared" si="4"/>
        <v>To Do</v>
      </c>
      <c r="E20" s="5" t="str">
        <f t="shared" si="5"/>
        <v>Medium</v>
      </c>
      <c r="F20" s="5" t="str">
        <f t="shared" si="6"/>
        <v/>
      </c>
    </row>
    <row r="21">
      <c r="A21" s="5" t="str">
        <f t="shared" si="1"/>
        <v>SEC-020</v>
      </c>
      <c r="B21" s="5" t="str">
        <f t="shared" si="2"/>
        <v>HR &amp; Training Team</v>
      </c>
      <c r="C21" s="5" t="str">
        <f t="shared" si="3"/>
        <v>Medium</v>
      </c>
      <c r="D21" s="5" t="str">
        <f t="shared" si="4"/>
        <v>To Do</v>
      </c>
      <c r="E21" s="5" t="str">
        <f t="shared" si="5"/>
        <v>Medium</v>
      </c>
      <c r="F21" s="5" t="str">
        <f t="shared" si="6"/>
        <v/>
      </c>
    </row>
    <row r="22">
      <c r="A22" s="5" t="str">
        <f t="shared" si="1"/>
        <v>SEC-021</v>
      </c>
      <c r="B22" s="5" t="str">
        <f t="shared" si="2"/>
        <v>PMO / Governance Support</v>
      </c>
      <c r="C22" s="5" t="str">
        <f t="shared" si="3"/>
        <v>Medium</v>
      </c>
      <c r="D22" s="5" t="str">
        <f t="shared" si="4"/>
        <v>Done</v>
      </c>
      <c r="E22" s="5" t="str">
        <f t="shared" si="5"/>
        <v>Medium</v>
      </c>
      <c r="F22" s="5" t="str">
        <f t="shared" si="6"/>
        <v/>
      </c>
    </row>
    <row r="23">
      <c r="A23" s="5" t="str">
        <f t="shared" si="1"/>
        <v>SEC-022</v>
      </c>
      <c r="B23" s="5" t="str">
        <f t="shared" si="2"/>
        <v>PMO / Governance Support</v>
      </c>
      <c r="C23" s="5" t="str">
        <f t="shared" si="3"/>
        <v>Medium</v>
      </c>
      <c r="D23" s="5" t="str">
        <f t="shared" si="4"/>
        <v>In Progress</v>
      </c>
      <c r="E23" s="5" t="str">
        <f t="shared" si="5"/>
        <v>Medium</v>
      </c>
      <c r="F23" s="5" t="str">
        <f t="shared" si="6"/>
        <v>SEC-021</v>
      </c>
    </row>
    <row r="24">
      <c r="A24" s="5" t="str">
        <f t="shared" si="1"/>
        <v>SEC-023</v>
      </c>
      <c r="B24" s="5" t="str">
        <f t="shared" si="2"/>
        <v>IT Security Team</v>
      </c>
      <c r="C24" s="5" t="str">
        <f t="shared" si="3"/>
        <v>Medium</v>
      </c>
      <c r="D24" s="5" t="str">
        <f t="shared" si="4"/>
        <v>Review</v>
      </c>
      <c r="E24" s="5" t="str">
        <f t="shared" si="5"/>
        <v>Medium</v>
      </c>
      <c r="F24" s="5" t="str">
        <f t="shared" si="6"/>
        <v>SEC-021</v>
      </c>
    </row>
    <row r="25">
      <c r="A25" s="5" t="str">
        <f t="shared" si="1"/>
        <v>SEC-024</v>
      </c>
      <c r="B25" s="5" t="str">
        <f t="shared" si="2"/>
        <v>PMO / Governance Support</v>
      </c>
      <c r="C25" s="5" t="str">
        <f t="shared" si="3"/>
        <v>Medium</v>
      </c>
      <c r="D25" s="5" t="str">
        <f t="shared" si="4"/>
        <v>To Do</v>
      </c>
      <c r="E25" s="5" t="str">
        <f t="shared" si="5"/>
        <v>Medium</v>
      </c>
      <c r="F25" s="5" t="str">
        <f t="shared" si="6"/>
        <v>SEC-022, SEC-023</v>
      </c>
    </row>
    <row r="26">
      <c r="A26" s="5" t="str">
        <f t="shared" si="1"/>
        <v>SEC-025</v>
      </c>
      <c r="B26" s="5" t="str">
        <f t="shared" si="2"/>
        <v>PMO / Governance Support</v>
      </c>
      <c r="C26" s="5" t="str">
        <f t="shared" si="3"/>
        <v>High</v>
      </c>
      <c r="D26" s="5" t="str">
        <f t="shared" si="4"/>
        <v>To Do</v>
      </c>
      <c r="E26" s="5" t="str">
        <f t="shared" si="5"/>
        <v>High</v>
      </c>
      <c r="F26" s="5" t="str">
        <f t="shared" si="6"/>
        <v>SEC-022, SEC-023, SEC-024</v>
      </c>
    </row>
    <row r="27">
      <c r="A27" s="5" t="str">
        <f t="shared" si="1"/>
        <v>SEC-026</v>
      </c>
      <c r="B27" s="5" t="str">
        <f t="shared" si="2"/>
        <v>Department Managers</v>
      </c>
      <c r="C27" s="5" t="str">
        <f t="shared" si="3"/>
        <v>Medium</v>
      </c>
      <c r="D27" s="5" t="str">
        <f t="shared" si="4"/>
        <v>To Do</v>
      </c>
      <c r="E27" s="5" t="str">
        <f t="shared" si="5"/>
        <v>Medium</v>
      </c>
      <c r="F27" s="5" t="str">
        <f t="shared" si="6"/>
        <v>SEC-025</v>
      </c>
    </row>
    <row r="28">
      <c r="A28" s="5" t="str">
        <f t="shared" si="1"/>
        <v>SEC-027</v>
      </c>
      <c r="B28" s="5" t="str">
        <f t="shared" si="2"/>
        <v>IT Security Team</v>
      </c>
      <c r="C28" s="5" t="str">
        <f t="shared" si="3"/>
        <v>Medium</v>
      </c>
      <c r="D28" s="5" t="str">
        <f t="shared" si="4"/>
        <v>To Do</v>
      </c>
      <c r="E28" s="5" t="str">
        <f t="shared" si="5"/>
        <v>Medium</v>
      </c>
      <c r="F28" s="5" t="str">
        <f t="shared" si="6"/>
        <v/>
      </c>
    </row>
    <row r="29">
      <c r="A29" s="5" t="str">
        <f t="shared" si="1"/>
        <v>SEC-028</v>
      </c>
      <c r="B29" s="5" t="str">
        <f t="shared" si="2"/>
        <v>IT Security Team</v>
      </c>
      <c r="C29" s="5" t="str">
        <f t="shared" si="3"/>
        <v>Medium</v>
      </c>
      <c r="D29" s="5" t="str">
        <f t="shared" si="4"/>
        <v>To Do</v>
      </c>
      <c r="E29" s="5" t="str">
        <f t="shared" si="5"/>
        <v>Medium</v>
      </c>
      <c r="F29" s="5" t="str">
        <f t="shared" si="6"/>
        <v/>
      </c>
    </row>
    <row r="30">
      <c r="A30" s="5" t="str">
        <f t="shared" si="1"/>
        <v>SEC-029</v>
      </c>
      <c r="B30" s="5" t="str">
        <f t="shared" si="2"/>
        <v>IT Security Team</v>
      </c>
      <c r="C30" s="5" t="str">
        <f t="shared" si="3"/>
        <v>Medium</v>
      </c>
      <c r="D30" s="5" t="str">
        <f t="shared" si="4"/>
        <v>In Progress</v>
      </c>
      <c r="E30" s="5" t="str">
        <f t="shared" si="5"/>
        <v>Medium</v>
      </c>
      <c r="F30" s="5" t="str">
        <f t="shared" si="6"/>
        <v>SEC-027, SEC-028</v>
      </c>
    </row>
    <row r="31">
      <c r="A31" s="5" t="str">
        <f t="shared" si="1"/>
        <v>SEC-030</v>
      </c>
      <c r="B31" s="5" t="str">
        <f t="shared" si="2"/>
        <v>IT Security Team</v>
      </c>
      <c r="C31" s="5" t="str">
        <f t="shared" si="3"/>
        <v>Medium</v>
      </c>
      <c r="D31" s="5" t="str">
        <f t="shared" si="4"/>
        <v>Review</v>
      </c>
      <c r="E31" s="5" t="str">
        <f t="shared" si="5"/>
        <v>Medium</v>
      </c>
      <c r="F31" s="5" t="str">
        <f t="shared" si="6"/>
        <v>SEC-029</v>
      </c>
    </row>
    <row r="32">
      <c r="A32" s="5" t="str">
        <f t="shared" si="1"/>
        <v>SEC-031</v>
      </c>
      <c r="B32" s="5" t="str">
        <f t="shared" si="2"/>
        <v>Department Managers</v>
      </c>
      <c r="C32" s="5" t="str">
        <f t="shared" si="3"/>
        <v>Medium</v>
      </c>
      <c r="D32" s="5" t="str">
        <f t="shared" si="4"/>
        <v>To Do</v>
      </c>
      <c r="E32" s="5" t="str">
        <f t="shared" si="5"/>
        <v>Medium</v>
      </c>
      <c r="F32" s="5" t="str">
        <f t="shared" si="6"/>
        <v>SEC-029, SEC-030</v>
      </c>
    </row>
    <row r="33">
      <c r="A33" s="5" t="str">
        <f t="shared" si="1"/>
        <v>SEC-032</v>
      </c>
      <c r="B33" s="5" t="str">
        <f t="shared" si="2"/>
        <v>Security Transformation Lead</v>
      </c>
      <c r="C33" s="5" t="str">
        <f t="shared" si="3"/>
        <v>High</v>
      </c>
      <c r="D33" s="5" t="str">
        <f t="shared" si="4"/>
        <v>Blocked</v>
      </c>
      <c r="E33" s="5" t="str">
        <f t="shared" si="5"/>
        <v>High</v>
      </c>
      <c r="F33" s="5" t="str">
        <f t="shared" si="6"/>
        <v>SEC-029, SEC-030, SEC-031</v>
      </c>
    </row>
    <row r="34">
      <c r="A34" s="5" t="str">
        <f t="shared" si="1"/>
        <v>SEC-033</v>
      </c>
      <c r="B34" s="5" t="str">
        <f t="shared" si="2"/>
        <v>PMO / Governance Support</v>
      </c>
      <c r="C34" s="5" t="str">
        <f t="shared" si="3"/>
        <v>Medium</v>
      </c>
      <c r="D34" s="5" t="str">
        <f t="shared" si="4"/>
        <v>Done</v>
      </c>
      <c r="E34" s="5" t="str">
        <f t="shared" si="5"/>
        <v>Low</v>
      </c>
      <c r="F34" s="5" t="str">
        <f t="shared" si="6"/>
        <v/>
      </c>
    </row>
    <row r="35">
      <c r="A35" s="5" t="str">
        <f t="shared" si="1"/>
        <v>SEC-034</v>
      </c>
      <c r="B35" s="5" t="str">
        <f t="shared" si="2"/>
        <v>PMO / Governance Support</v>
      </c>
      <c r="C35" s="5" t="str">
        <f t="shared" si="3"/>
        <v>Medium</v>
      </c>
      <c r="D35" s="5" t="str">
        <f t="shared" si="4"/>
        <v>In Progress</v>
      </c>
      <c r="E35" s="5" t="str">
        <f t="shared" si="5"/>
        <v>Low</v>
      </c>
      <c r="F35" s="5" t="str">
        <f t="shared" si="6"/>
        <v>SEC-033</v>
      </c>
    </row>
    <row r="36">
      <c r="A36" s="5" t="str">
        <f t="shared" si="1"/>
        <v>SEC-035</v>
      </c>
      <c r="B36" s="5" t="str">
        <f t="shared" si="2"/>
        <v>PMO / Governance Support</v>
      </c>
      <c r="C36" s="5" t="str">
        <f t="shared" si="3"/>
        <v>Medium</v>
      </c>
      <c r="D36" s="5" t="str">
        <f t="shared" si="4"/>
        <v>To Do</v>
      </c>
      <c r="E36" s="5" t="str">
        <f t="shared" si="5"/>
        <v>Low</v>
      </c>
      <c r="F36" s="5" t="str">
        <f t="shared" si="6"/>
        <v>SEC-034</v>
      </c>
    </row>
    <row r="37">
      <c r="A37" s="5" t="str">
        <f t="shared" si="1"/>
        <v>SEC-036</v>
      </c>
      <c r="B37" s="5" t="str">
        <f t="shared" si="2"/>
        <v>PMO / Governance Support</v>
      </c>
      <c r="C37" s="5" t="str">
        <f t="shared" si="3"/>
        <v>Medium</v>
      </c>
      <c r="D37" s="5" t="str">
        <f t="shared" si="4"/>
        <v>To Do</v>
      </c>
      <c r="E37" s="5" t="str">
        <f t="shared" si="5"/>
        <v>Low</v>
      </c>
      <c r="F37" s="5" t="str">
        <f t="shared" si="6"/>
        <v>SEC-034</v>
      </c>
    </row>
    <row r="38">
      <c r="A38" s="5" t="str">
        <f t="shared" si="1"/>
        <v>SEC-037</v>
      </c>
      <c r="B38" s="5" t="str">
        <f t="shared" si="2"/>
        <v>PMO / Governance Support</v>
      </c>
      <c r="C38" s="5" t="str">
        <f t="shared" si="3"/>
        <v>Medium</v>
      </c>
      <c r="D38" s="5" t="str">
        <f t="shared" si="4"/>
        <v>To Do</v>
      </c>
      <c r="E38" s="5" t="str">
        <f t="shared" si="5"/>
        <v>Low</v>
      </c>
      <c r="F38" s="5" t="str">
        <f t="shared" si="6"/>
        <v>SEC-035</v>
      </c>
    </row>
    <row r="39">
      <c r="A39" s="5" t="str">
        <f t="shared" si="1"/>
        <v>SEC-038</v>
      </c>
      <c r="B39" s="5" t="str">
        <f t="shared" si="2"/>
        <v>Department Managers</v>
      </c>
      <c r="C39" s="5" t="str">
        <f t="shared" si="3"/>
        <v>Medium</v>
      </c>
      <c r="D39" s="5" t="str">
        <f t="shared" si="4"/>
        <v>To Do</v>
      </c>
      <c r="E39" s="5" t="str">
        <f t="shared" si="5"/>
        <v>Low</v>
      </c>
      <c r="F39" s="5" t="str">
        <f t="shared" si="6"/>
        <v>SEC-036</v>
      </c>
    </row>
    <row r="40">
      <c r="A40" s="5" t="str">
        <f t="shared" si="1"/>
        <v>SEC-039</v>
      </c>
      <c r="B40" s="5" t="str">
        <f t="shared" si="2"/>
        <v>PMO / Governance Support</v>
      </c>
      <c r="C40" s="5" t="str">
        <f t="shared" si="3"/>
        <v>High</v>
      </c>
      <c r="D40" s="5" t="str">
        <f t="shared" si="4"/>
        <v>Done</v>
      </c>
      <c r="E40" s="5" t="str">
        <f t="shared" si="5"/>
        <v>Low</v>
      </c>
      <c r="F40" s="5" t="str">
        <f t="shared" si="6"/>
        <v/>
      </c>
    </row>
    <row r="41">
      <c r="A41" s="5" t="str">
        <f t="shared" si="1"/>
        <v>SEC-040</v>
      </c>
      <c r="B41" s="5" t="str">
        <f t="shared" si="2"/>
        <v>PMO / Governance Support</v>
      </c>
      <c r="C41" s="5" t="str">
        <f t="shared" si="3"/>
        <v>High</v>
      </c>
      <c r="D41" s="5" t="str">
        <f t="shared" si="4"/>
        <v>To Do</v>
      </c>
      <c r="E41" s="5" t="str">
        <f t="shared" si="5"/>
        <v>Low</v>
      </c>
      <c r="F41" s="5" t="str">
        <f t="shared" si="6"/>
        <v>SEC-039</v>
      </c>
    </row>
    <row r="42">
      <c r="A42" s="5" t="str">
        <f t="shared" si="1"/>
        <v>SEC-041</v>
      </c>
      <c r="B42" s="5" t="str">
        <f t="shared" si="2"/>
        <v>PMO / Governance Support</v>
      </c>
      <c r="C42" s="5" t="str">
        <f t="shared" si="3"/>
        <v>High</v>
      </c>
      <c r="D42" s="5" t="str">
        <f t="shared" si="4"/>
        <v>In Progress</v>
      </c>
      <c r="E42" s="5" t="str">
        <f t="shared" si="5"/>
        <v>Low</v>
      </c>
      <c r="F42" s="5" t="str">
        <f t="shared" si="6"/>
        <v>SEC-039, SEC-040</v>
      </c>
    </row>
    <row r="43">
      <c r="A43" s="5" t="str">
        <f t="shared" si="1"/>
        <v>SEC-042</v>
      </c>
      <c r="B43" s="5" t="str">
        <f t="shared" si="2"/>
        <v>PMO / Governance Support</v>
      </c>
      <c r="C43" s="5" t="str">
        <f t="shared" si="3"/>
        <v>High</v>
      </c>
      <c r="D43" s="5" t="str">
        <f t="shared" si="4"/>
        <v>To Do</v>
      </c>
      <c r="E43" s="5" t="str">
        <f t="shared" si="5"/>
        <v>Low</v>
      </c>
      <c r="F43" s="5" t="str">
        <f t="shared" si="6"/>
        <v>SEC-040</v>
      </c>
    </row>
    <row r="44">
      <c r="A44" s="5" t="str">
        <f t="shared" si="1"/>
        <v>SEC-043</v>
      </c>
      <c r="B44" s="5" t="str">
        <f t="shared" si="2"/>
        <v>Security Transformation Lead</v>
      </c>
      <c r="C44" s="5" t="str">
        <f t="shared" si="3"/>
        <v>High</v>
      </c>
      <c r="D44" s="5" t="str">
        <f t="shared" si="4"/>
        <v>To Do</v>
      </c>
      <c r="E44" s="5" t="str">
        <f t="shared" si="5"/>
        <v>Low</v>
      </c>
      <c r="F44" s="5" t="str">
        <f t="shared" si="6"/>
        <v>SEC-041, SEC-042</v>
      </c>
    </row>
    <row r="45">
      <c r="A45" s="5" t="str">
        <f t="shared" si="1"/>
        <v>SEC-044</v>
      </c>
      <c r="B45" s="5" t="str">
        <f t="shared" si="2"/>
        <v>Security Transformation Lead</v>
      </c>
      <c r="C45" s="5" t="str">
        <f t="shared" si="3"/>
        <v>High</v>
      </c>
      <c r="D45" s="5" t="str">
        <f t="shared" si="4"/>
        <v>To Do</v>
      </c>
      <c r="E45" s="5" t="str">
        <f t="shared" si="5"/>
        <v>Low</v>
      </c>
      <c r="F45" s="5" t="str">
        <f t="shared" si="6"/>
        <v>SEC-043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75"/>
    <col customWidth="1" min="2" max="2" width="19.88"/>
    <col customWidth="1" min="3" max="3" width="42.13"/>
    <col customWidth="1" min="4" max="4" width="11.38"/>
    <col customWidth="1" min="5" max="5" width="13.63"/>
    <col customWidth="1" min="6" max="6" width="22.5"/>
    <col customWidth="1" min="7" max="7" width="34.5"/>
    <col customWidth="1" min="8" max="8" width="16.38"/>
  </cols>
  <sheetData>
    <row r="1">
      <c r="A1" s="1" t="s">
        <v>55</v>
      </c>
      <c r="B1" s="1" t="s">
        <v>56</v>
      </c>
      <c r="C1" s="11" t="s">
        <v>57</v>
      </c>
      <c r="D1" s="1" t="s">
        <v>58</v>
      </c>
      <c r="E1" s="1" t="s">
        <v>59</v>
      </c>
      <c r="F1" s="1" t="s">
        <v>4</v>
      </c>
      <c r="G1" s="11" t="s">
        <v>60</v>
      </c>
      <c r="H1" s="1" t="s">
        <v>8</v>
      </c>
    </row>
    <row r="2">
      <c r="A2" s="5" t="str">
        <f t="shared" ref="A2:A100" si="1">"RAID-"&amp;TEXT(ROW()-1,"000")</f>
        <v>RAID-001</v>
      </c>
      <c r="B2" s="3" t="s">
        <v>9</v>
      </c>
      <c r="C2" s="12" t="s">
        <v>61</v>
      </c>
      <c r="D2" s="3" t="s">
        <v>62</v>
      </c>
      <c r="E2" s="3" t="s">
        <v>63</v>
      </c>
      <c r="F2" s="3" t="s">
        <v>64</v>
      </c>
      <c r="G2" s="12" t="s">
        <v>65</v>
      </c>
      <c r="H2" s="3" t="s">
        <v>66</v>
      </c>
    </row>
    <row r="3">
      <c r="A3" s="5" t="str">
        <f t="shared" si="1"/>
        <v>RAID-002</v>
      </c>
      <c r="B3" s="3" t="s">
        <v>9</v>
      </c>
      <c r="C3" s="12" t="s">
        <v>67</v>
      </c>
      <c r="D3" s="3" t="s">
        <v>62</v>
      </c>
      <c r="E3" s="3" t="s">
        <v>63</v>
      </c>
      <c r="F3" s="3" t="s">
        <v>68</v>
      </c>
      <c r="G3" s="12" t="s">
        <v>69</v>
      </c>
      <c r="H3" s="3" t="s">
        <v>66</v>
      </c>
    </row>
    <row r="4">
      <c r="A4" s="5" t="str">
        <f t="shared" si="1"/>
        <v>RAID-003</v>
      </c>
      <c r="B4" s="3" t="s">
        <v>9</v>
      </c>
      <c r="C4" s="12" t="s">
        <v>70</v>
      </c>
      <c r="D4" s="3" t="s">
        <v>62</v>
      </c>
      <c r="E4" s="3" t="s">
        <v>63</v>
      </c>
      <c r="F4" s="3" t="s">
        <v>71</v>
      </c>
      <c r="G4" s="12" t="s">
        <v>72</v>
      </c>
      <c r="H4" s="3" t="s">
        <v>73</v>
      </c>
    </row>
    <row r="5">
      <c r="A5" s="5" t="str">
        <f t="shared" si="1"/>
        <v>RAID-004</v>
      </c>
      <c r="B5" s="3" t="s">
        <v>9</v>
      </c>
      <c r="C5" s="12" t="s">
        <v>74</v>
      </c>
      <c r="D5" s="3" t="s">
        <v>63</v>
      </c>
      <c r="E5" s="3" t="s">
        <v>63</v>
      </c>
      <c r="F5" s="3" t="s">
        <v>68</v>
      </c>
      <c r="G5" s="12" t="s">
        <v>75</v>
      </c>
      <c r="H5" s="3" t="s">
        <v>73</v>
      </c>
    </row>
    <row r="6">
      <c r="A6" s="5" t="str">
        <f t="shared" si="1"/>
        <v>RAID-005</v>
      </c>
      <c r="B6" s="3" t="s">
        <v>9</v>
      </c>
      <c r="C6" s="12" t="s">
        <v>76</v>
      </c>
      <c r="D6" s="3" t="s">
        <v>63</v>
      </c>
      <c r="E6" s="3" t="s">
        <v>20</v>
      </c>
      <c r="F6" s="3" t="s">
        <v>77</v>
      </c>
      <c r="G6" s="12" t="s">
        <v>78</v>
      </c>
      <c r="H6" s="3" t="s">
        <v>73</v>
      </c>
    </row>
    <row r="7">
      <c r="A7" s="5" t="str">
        <f t="shared" si="1"/>
        <v>RAID-006</v>
      </c>
      <c r="B7" s="3" t="s">
        <v>79</v>
      </c>
      <c r="C7" s="12" t="s">
        <v>80</v>
      </c>
      <c r="D7" s="3" t="s">
        <v>63</v>
      </c>
      <c r="E7" s="3" t="s">
        <v>20</v>
      </c>
      <c r="F7" s="3" t="s">
        <v>71</v>
      </c>
      <c r="G7" s="12" t="s">
        <v>81</v>
      </c>
      <c r="H7" s="3" t="s">
        <v>82</v>
      </c>
    </row>
    <row r="8">
      <c r="A8" s="5" t="str">
        <f t="shared" si="1"/>
        <v>RAID-007</v>
      </c>
      <c r="B8" s="3" t="s">
        <v>79</v>
      </c>
      <c r="C8" s="12" t="s">
        <v>83</v>
      </c>
      <c r="D8" s="3" t="s">
        <v>63</v>
      </c>
      <c r="E8" s="3" t="s">
        <v>63</v>
      </c>
      <c r="F8" s="3" t="s">
        <v>84</v>
      </c>
      <c r="G8" s="12" t="s">
        <v>85</v>
      </c>
      <c r="H8" s="3" t="s">
        <v>66</v>
      </c>
    </row>
    <row r="9">
      <c r="A9" s="5" t="str">
        <f t="shared" si="1"/>
        <v>RAID-008</v>
      </c>
      <c r="B9" s="3" t="s">
        <v>79</v>
      </c>
      <c r="C9" s="12" t="s">
        <v>86</v>
      </c>
      <c r="D9" s="3" t="s">
        <v>20</v>
      </c>
      <c r="E9" s="3" t="s">
        <v>20</v>
      </c>
      <c r="F9" s="3" t="s">
        <v>71</v>
      </c>
      <c r="G9" s="12" t="s">
        <v>87</v>
      </c>
      <c r="H9" s="3" t="s">
        <v>82</v>
      </c>
    </row>
    <row r="10">
      <c r="A10" s="5" t="str">
        <f t="shared" si="1"/>
        <v>RAID-009</v>
      </c>
      <c r="B10" s="3" t="s">
        <v>88</v>
      </c>
      <c r="C10" s="12" t="s">
        <v>89</v>
      </c>
      <c r="D10" s="3" t="s">
        <v>62</v>
      </c>
      <c r="E10" s="3" t="s">
        <v>62</v>
      </c>
      <c r="F10" s="3" t="s">
        <v>64</v>
      </c>
      <c r="G10" s="12" t="s">
        <v>90</v>
      </c>
      <c r="H10" s="3" t="s">
        <v>66</v>
      </c>
    </row>
    <row r="11">
      <c r="A11" s="5" t="str">
        <f t="shared" si="1"/>
        <v>RAID-010</v>
      </c>
      <c r="B11" s="3" t="s">
        <v>88</v>
      </c>
      <c r="C11" s="12" t="s">
        <v>91</v>
      </c>
      <c r="D11" s="3" t="s">
        <v>62</v>
      </c>
      <c r="E11" s="3" t="s">
        <v>62</v>
      </c>
      <c r="F11" s="3" t="s">
        <v>68</v>
      </c>
      <c r="G11" s="12" t="s">
        <v>92</v>
      </c>
      <c r="H11" s="3" t="s">
        <v>66</v>
      </c>
    </row>
    <row r="12">
      <c r="A12" s="5" t="str">
        <f t="shared" si="1"/>
        <v>RAID-011</v>
      </c>
      <c r="B12" s="3" t="s">
        <v>88</v>
      </c>
      <c r="C12" s="12" t="s">
        <v>93</v>
      </c>
      <c r="D12" s="3" t="s">
        <v>63</v>
      </c>
      <c r="E12" s="3" t="s">
        <v>63</v>
      </c>
      <c r="F12" s="3" t="s">
        <v>77</v>
      </c>
      <c r="G12" s="12" t="s">
        <v>94</v>
      </c>
      <c r="H12" s="3" t="s">
        <v>66</v>
      </c>
    </row>
    <row r="13">
      <c r="A13" s="5" t="str">
        <f t="shared" si="1"/>
        <v>RAID-012</v>
      </c>
      <c r="B13" s="3" t="s">
        <v>7</v>
      </c>
      <c r="C13" s="12" t="s">
        <v>95</v>
      </c>
      <c r="D13" s="3" t="s">
        <v>62</v>
      </c>
      <c r="E13" s="3" t="s">
        <v>63</v>
      </c>
      <c r="F13" s="3" t="s">
        <v>77</v>
      </c>
      <c r="G13" s="12" t="s">
        <v>96</v>
      </c>
      <c r="H13" s="3" t="s">
        <v>73</v>
      </c>
    </row>
    <row r="14">
      <c r="A14" s="5" t="str">
        <f t="shared" si="1"/>
        <v>RAID-013</v>
      </c>
      <c r="B14" s="3" t="s">
        <v>88</v>
      </c>
      <c r="C14" s="12" t="s">
        <v>97</v>
      </c>
      <c r="D14" s="3" t="s">
        <v>63</v>
      </c>
      <c r="E14" s="3" t="s">
        <v>20</v>
      </c>
      <c r="F14" s="3" t="s">
        <v>71</v>
      </c>
      <c r="G14" s="12" t="s">
        <v>98</v>
      </c>
      <c r="H14" s="3" t="s">
        <v>99</v>
      </c>
    </row>
    <row r="15">
      <c r="A15" s="5" t="str">
        <f t="shared" si="1"/>
        <v>RAID-014</v>
      </c>
      <c r="B15" s="3" t="s">
        <v>7</v>
      </c>
      <c r="C15" s="12" t="s">
        <v>100</v>
      </c>
      <c r="D15" s="3" t="s">
        <v>20</v>
      </c>
      <c r="E15" s="3" t="s">
        <v>20</v>
      </c>
      <c r="F15" s="3" t="s">
        <v>68</v>
      </c>
      <c r="G15" s="12" t="s">
        <v>101</v>
      </c>
      <c r="H15" s="3" t="s">
        <v>99</v>
      </c>
    </row>
    <row r="16">
      <c r="A16" s="5" t="str">
        <f t="shared" si="1"/>
        <v>RAID-015</v>
      </c>
      <c r="B16" s="5"/>
      <c r="C16" s="13"/>
      <c r="D16" s="5"/>
      <c r="E16" s="5"/>
      <c r="G16" s="13"/>
      <c r="H16" s="5"/>
    </row>
    <row r="17">
      <c r="A17" s="5" t="str">
        <f t="shared" si="1"/>
        <v>RAID-016</v>
      </c>
      <c r="B17" s="5"/>
      <c r="C17" s="13"/>
      <c r="D17" s="5"/>
      <c r="E17" s="5"/>
      <c r="G17" s="13"/>
      <c r="H17" s="5"/>
    </row>
    <row r="18">
      <c r="A18" s="5" t="str">
        <f t="shared" si="1"/>
        <v>RAID-017</v>
      </c>
      <c r="B18" s="5"/>
      <c r="C18" s="13"/>
      <c r="D18" s="5"/>
      <c r="E18" s="5"/>
      <c r="G18" s="13"/>
      <c r="H18" s="5"/>
    </row>
    <row r="19">
      <c r="A19" s="5" t="str">
        <f t="shared" si="1"/>
        <v>RAID-018</v>
      </c>
      <c r="B19" s="5"/>
      <c r="C19" s="13"/>
      <c r="D19" s="5"/>
      <c r="E19" s="5"/>
      <c r="G19" s="13"/>
      <c r="H19" s="5"/>
    </row>
    <row r="20">
      <c r="A20" s="5" t="str">
        <f t="shared" si="1"/>
        <v>RAID-019</v>
      </c>
      <c r="B20" s="5"/>
      <c r="C20" s="13"/>
      <c r="D20" s="5"/>
      <c r="E20" s="5"/>
      <c r="G20" s="13"/>
      <c r="H20" s="5"/>
    </row>
    <row r="21">
      <c r="A21" s="5" t="str">
        <f t="shared" si="1"/>
        <v>RAID-020</v>
      </c>
      <c r="B21" s="5"/>
      <c r="C21" s="13"/>
      <c r="D21" s="5"/>
      <c r="E21" s="5"/>
      <c r="G21" s="13"/>
      <c r="H21" s="5"/>
    </row>
    <row r="22">
      <c r="A22" s="5" t="str">
        <f t="shared" si="1"/>
        <v>RAID-021</v>
      </c>
      <c r="B22" s="5"/>
      <c r="C22" s="13"/>
      <c r="D22" s="5"/>
      <c r="E22" s="5"/>
      <c r="G22" s="13"/>
      <c r="H22" s="5"/>
    </row>
    <row r="23">
      <c r="A23" s="5" t="str">
        <f t="shared" si="1"/>
        <v>RAID-022</v>
      </c>
      <c r="B23" s="5"/>
      <c r="C23" s="13"/>
      <c r="D23" s="5"/>
      <c r="E23" s="5"/>
      <c r="G23" s="13"/>
      <c r="H23" s="5"/>
    </row>
    <row r="24">
      <c r="A24" s="5" t="str">
        <f t="shared" si="1"/>
        <v>RAID-023</v>
      </c>
      <c r="B24" s="5"/>
      <c r="C24" s="13"/>
      <c r="D24" s="5"/>
      <c r="E24" s="5"/>
      <c r="G24" s="13"/>
      <c r="H24" s="5"/>
    </row>
    <row r="25">
      <c r="A25" s="5" t="str">
        <f t="shared" si="1"/>
        <v>RAID-024</v>
      </c>
      <c r="B25" s="5"/>
      <c r="C25" s="13"/>
      <c r="D25" s="5"/>
      <c r="E25" s="5"/>
      <c r="G25" s="13"/>
      <c r="H25" s="5"/>
    </row>
    <row r="26">
      <c r="A26" s="5" t="str">
        <f t="shared" si="1"/>
        <v>RAID-025</v>
      </c>
      <c r="B26" s="5"/>
      <c r="C26" s="13"/>
      <c r="D26" s="5"/>
      <c r="E26" s="5"/>
      <c r="G26" s="13"/>
      <c r="H26" s="5"/>
    </row>
    <row r="27">
      <c r="A27" s="5" t="str">
        <f t="shared" si="1"/>
        <v>RAID-026</v>
      </c>
      <c r="B27" s="5"/>
      <c r="C27" s="13"/>
      <c r="D27" s="5"/>
      <c r="E27" s="5"/>
      <c r="G27" s="13"/>
      <c r="H27" s="5"/>
    </row>
    <row r="28">
      <c r="A28" s="5" t="str">
        <f t="shared" si="1"/>
        <v>RAID-027</v>
      </c>
      <c r="B28" s="5"/>
      <c r="C28" s="13"/>
      <c r="D28" s="5"/>
      <c r="E28" s="5"/>
      <c r="G28" s="13"/>
      <c r="H28" s="5"/>
    </row>
    <row r="29">
      <c r="A29" s="5" t="str">
        <f t="shared" si="1"/>
        <v>RAID-028</v>
      </c>
      <c r="B29" s="5"/>
      <c r="C29" s="13"/>
      <c r="D29" s="5"/>
      <c r="E29" s="5"/>
      <c r="G29" s="13"/>
      <c r="H29" s="5"/>
    </row>
    <row r="30">
      <c r="A30" s="5" t="str">
        <f t="shared" si="1"/>
        <v>RAID-029</v>
      </c>
      <c r="B30" s="5"/>
      <c r="C30" s="13"/>
      <c r="D30" s="5"/>
      <c r="E30" s="5"/>
      <c r="G30" s="13"/>
      <c r="H30" s="5"/>
    </row>
    <row r="31">
      <c r="A31" s="5" t="str">
        <f t="shared" si="1"/>
        <v>RAID-030</v>
      </c>
      <c r="B31" s="5"/>
      <c r="C31" s="13"/>
      <c r="D31" s="5"/>
      <c r="E31" s="5"/>
      <c r="G31" s="13"/>
      <c r="H31" s="5"/>
    </row>
    <row r="32">
      <c r="A32" s="5" t="str">
        <f t="shared" si="1"/>
        <v>RAID-031</v>
      </c>
      <c r="B32" s="5"/>
      <c r="C32" s="13"/>
      <c r="D32" s="5"/>
      <c r="E32" s="5"/>
      <c r="G32" s="13"/>
      <c r="H32" s="5"/>
    </row>
    <row r="33">
      <c r="A33" s="5" t="str">
        <f t="shared" si="1"/>
        <v>RAID-032</v>
      </c>
      <c r="B33" s="5"/>
      <c r="C33" s="13"/>
      <c r="D33" s="5"/>
      <c r="E33" s="5"/>
      <c r="G33" s="13"/>
      <c r="H33" s="5"/>
    </row>
    <row r="34">
      <c r="A34" s="5" t="str">
        <f t="shared" si="1"/>
        <v>RAID-033</v>
      </c>
      <c r="B34" s="5"/>
      <c r="C34" s="13"/>
      <c r="D34" s="5"/>
      <c r="E34" s="5"/>
      <c r="G34" s="13"/>
      <c r="H34" s="5"/>
    </row>
    <row r="35">
      <c r="A35" s="5" t="str">
        <f t="shared" si="1"/>
        <v>RAID-034</v>
      </c>
      <c r="B35" s="5"/>
      <c r="C35" s="13"/>
      <c r="D35" s="5"/>
      <c r="E35" s="5"/>
      <c r="G35" s="13"/>
      <c r="H35" s="5"/>
    </row>
    <row r="36">
      <c r="A36" s="5" t="str">
        <f t="shared" si="1"/>
        <v>RAID-035</v>
      </c>
      <c r="B36" s="5"/>
      <c r="C36" s="13"/>
      <c r="D36" s="5"/>
      <c r="E36" s="5"/>
      <c r="G36" s="13"/>
      <c r="H36" s="5"/>
    </row>
    <row r="37">
      <c r="A37" s="5" t="str">
        <f t="shared" si="1"/>
        <v>RAID-036</v>
      </c>
      <c r="B37" s="5"/>
      <c r="C37" s="13"/>
      <c r="D37" s="5"/>
      <c r="E37" s="5"/>
      <c r="G37" s="13"/>
      <c r="H37" s="5"/>
    </row>
    <row r="38">
      <c r="A38" s="5" t="str">
        <f t="shared" si="1"/>
        <v>RAID-037</v>
      </c>
      <c r="B38" s="5"/>
      <c r="C38" s="13"/>
      <c r="D38" s="5"/>
      <c r="E38" s="5"/>
      <c r="G38" s="13"/>
      <c r="H38" s="5"/>
    </row>
    <row r="39">
      <c r="A39" s="5" t="str">
        <f t="shared" si="1"/>
        <v>RAID-038</v>
      </c>
      <c r="B39" s="5"/>
      <c r="C39" s="13"/>
      <c r="D39" s="5"/>
      <c r="E39" s="5"/>
      <c r="G39" s="13"/>
      <c r="H39" s="5"/>
    </row>
    <row r="40">
      <c r="A40" s="5" t="str">
        <f t="shared" si="1"/>
        <v>RAID-039</v>
      </c>
      <c r="B40" s="5"/>
      <c r="C40" s="13"/>
      <c r="D40" s="5"/>
      <c r="E40" s="5"/>
      <c r="G40" s="13"/>
      <c r="H40" s="5"/>
    </row>
    <row r="41">
      <c r="A41" s="5" t="str">
        <f t="shared" si="1"/>
        <v>RAID-040</v>
      </c>
      <c r="B41" s="5"/>
      <c r="C41" s="13"/>
      <c r="D41" s="5"/>
      <c r="E41" s="5"/>
      <c r="G41" s="13"/>
      <c r="H41" s="5"/>
    </row>
    <row r="42">
      <c r="A42" s="5" t="str">
        <f t="shared" si="1"/>
        <v>RAID-041</v>
      </c>
      <c r="B42" s="5"/>
      <c r="C42" s="13"/>
      <c r="D42" s="5"/>
      <c r="E42" s="5"/>
      <c r="G42" s="13"/>
      <c r="H42" s="5"/>
    </row>
    <row r="43">
      <c r="A43" s="5" t="str">
        <f t="shared" si="1"/>
        <v>RAID-042</v>
      </c>
      <c r="B43" s="5"/>
      <c r="C43" s="13"/>
      <c r="D43" s="5"/>
      <c r="E43" s="5"/>
      <c r="G43" s="13"/>
      <c r="H43" s="5"/>
    </row>
    <row r="44">
      <c r="A44" s="5" t="str">
        <f t="shared" si="1"/>
        <v>RAID-043</v>
      </c>
      <c r="B44" s="5"/>
      <c r="C44" s="13"/>
      <c r="D44" s="5"/>
      <c r="E44" s="5"/>
      <c r="G44" s="13"/>
      <c r="H44" s="5"/>
    </row>
    <row r="45">
      <c r="A45" s="5" t="str">
        <f t="shared" si="1"/>
        <v>RAID-044</v>
      </c>
      <c r="B45" s="5"/>
      <c r="C45" s="13"/>
      <c r="D45" s="5"/>
      <c r="E45" s="5"/>
      <c r="G45" s="13"/>
      <c r="H45" s="5"/>
    </row>
    <row r="46">
      <c r="A46" s="5" t="str">
        <f t="shared" si="1"/>
        <v>RAID-045</v>
      </c>
      <c r="B46" s="5"/>
      <c r="C46" s="13"/>
      <c r="D46" s="5"/>
      <c r="E46" s="5"/>
      <c r="G46" s="13"/>
      <c r="H46" s="5"/>
    </row>
    <row r="47">
      <c r="A47" s="5" t="str">
        <f t="shared" si="1"/>
        <v>RAID-046</v>
      </c>
      <c r="B47" s="5"/>
      <c r="C47" s="13"/>
      <c r="D47" s="5"/>
      <c r="E47" s="5"/>
      <c r="G47" s="13"/>
      <c r="H47" s="5"/>
    </row>
    <row r="48">
      <c r="A48" s="5" t="str">
        <f t="shared" si="1"/>
        <v>RAID-047</v>
      </c>
      <c r="B48" s="5"/>
      <c r="C48" s="13"/>
      <c r="D48" s="5"/>
      <c r="E48" s="5"/>
      <c r="G48" s="13"/>
      <c r="H48" s="5"/>
    </row>
    <row r="49">
      <c r="A49" s="5" t="str">
        <f t="shared" si="1"/>
        <v>RAID-048</v>
      </c>
      <c r="B49" s="5"/>
      <c r="C49" s="13"/>
      <c r="D49" s="5"/>
      <c r="E49" s="5"/>
      <c r="G49" s="13"/>
      <c r="H49" s="5"/>
    </row>
    <row r="50">
      <c r="A50" s="5" t="str">
        <f t="shared" si="1"/>
        <v>RAID-049</v>
      </c>
      <c r="B50" s="5"/>
      <c r="C50" s="13"/>
      <c r="D50" s="5"/>
      <c r="E50" s="5"/>
      <c r="G50" s="13"/>
      <c r="H50" s="5"/>
    </row>
    <row r="51">
      <c r="A51" s="5" t="str">
        <f t="shared" si="1"/>
        <v>RAID-050</v>
      </c>
      <c r="B51" s="5"/>
      <c r="C51" s="13"/>
      <c r="D51" s="5"/>
      <c r="E51" s="5"/>
      <c r="G51" s="13"/>
      <c r="H51" s="5"/>
    </row>
    <row r="52">
      <c r="A52" s="5" t="str">
        <f t="shared" si="1"/>
        <v>RAID-051</v>
      </c>
      <c r="B52" s="5"/>
      <c r="C52" s="13"/>
      <c r="D52" s="5"/>
      <c r="E52" s="5"/>
      <c r="G52" s="13"/>
      <c r="H52" s="5"/>
    </row>
    <row r="53">
      <c r="A53" s="5" t="str">
        <f t="shared" si="1"/>
        <v>RAID-052</v>
      </c>
      <c r="B53" s="5"/>
      <c r="C53" s="13"/>
      <c r="D53" s="5"/>
      <c r="E53" s="5"/>
      <c r="G53" s="13"/>
      <c r="H53" s="5"/>
    </row>
    <row r="54">
      <c r="A54" s="5" t="str">
        <f t="shared" si="1"/>
        <v>RAID-053</v>
      </c>
      <c r="B54" s="5"/>
      <c r="C54" s="13"/>
      <c r="D54" s="5"/>
      <c r="E54" s="5"/>
      <c r="G54" s="13"/>
      <c r="H54" s="5"/>
    </row>
    <row r="55">
      <c r="A55" s="5" t="str">
        <f t="shared" si="1"/>
        <v>RAID-054</v>
      </c>
      <c r="B55" s="5"/>
      <c r="C55" s="13"/>
      <c r="D55" s="5"/>
      <c r="E55" s="5"/>
      <c r="G55" s="13"/>
      <c r="H55" s="5"/>
    </row>
    <row r="56">
      <c r="A56" s="5" t="str">
        <f t="shared" si="1"/>
        <v>RAID-055</v>
      </c>
      <c r="B56" s="5"/>
      <c r="C56" s="13"/>
      <c r="D56" s="5"/>
      <c r="E56" s="5"/>
      <c r="G56" s="13"/>
      <c r="H56" s="5"/>
    </row>
    <row r="57">
      <c r="A57" s="5" t="str">
        <f t="shared" si="1"/>
        <v>RAID-056</v>
      </c>
      <c r="B57" s="5"/>
      <c r="C57" s="13"/>
      <c r="D57" s="5"/>
      <c r="E57" s="5"/>
      <c r="G57" s="13"/>
      <c r="H57" s="5"/>
    </row>
    <row r="58">
      <c r="A58" s="5" t="str">
        <f t="shared" si="1"/>
        <v>RAID-057</v>
      </c>
      <c r="B58" s="5"/>
      <c r="C58" s="13"/>
      <c r="D58" s="5"/>
      <c r="E58" s="5"/>
      <c r="G58" s="13"/>
      <c r="H58" s="5"/>
    </row>
    <row r="59">
      <c r="A59" s="5" t="str">
        <f t="shared" si="1"/>
        <v>RAID-058</v>
      </c>
      <c r="B59" s="5"/>
      <c r="C59" s="13"/>
      <c r="D59" s="5"/>
      <c r="E59" s="5"/>
      <c r="G59" s="13"/>
      <c r="H59" s="5"/>
    </row>
    <row r="60">
      <c r="A60" s="5" t="str">
        <f t="shared" si="1"/>
        <v>RAID-059</v>
      </c>
      <c r="B60" s="5"/>
      <c r="C60" s="13"/>
      <c r="D60" s="5"/>
      <c r="E60" s="5"/>
      <c r="G60" s="13"/>
      <c r="H60" s="5"/>
    </row>
    <row r="61">
      <c r="A61" s="5" t="str">
        <f t="shared" si="1"/>
        <v>RAID-060</v>
      </c>
      <c r="B61" s="5"/>
      <c r="C61" s="13"/>
      <c r="D61" s="5"/>
      <c r="E61" s="5"/>
      <c r="G61" s="13"/>
      <c r="H61" s="5"/>
    </row>
    <row r="62">
      <c r="A62" s="5" t="str">
        <f t="shared" si="1"/>
        <v>RAID-061</v>
      </c>
      <c r="B62" s="5"/>
      <c r="C62" s="13"/>
      <c r="D62" s="5"/>
      <c r="E62" s="5"/>
      <c r="G62" s="13"/>
      <c r="H62" s="5"/>
    </row>
    <row r="63">
      <c r="A63" s="5" t="str">
        <f t="shared" si="1"/>
        <v>RAID-062</v>
      </c>
      <c r="B63" s="5"/>
      <c r="C63" s="13"/>
      <c r="D63" s="5"/>
      <c r="E63" s="5"/>
      <c r="G63" s="13"/>
      <c r="H63" s="5"/>
    </row>
    <row r="64">
      <c r="A64" s="5" t="str">
        <f t="shared" si="1"/>
        <v>RAID-063</v>
      </c>
      <c r="B64" s="5"/>
      <c r="C64" s="13"/>
      <c r="D64" s="5"/>
      <c r="E64" s="5"/>
      <c r="G64" s="13"/>
      <c r="H64" s="5"/>
    </row>
    <row r="65">
      <c r="A65" s="5" t="str">
        <f t="shared" si="1"/>
        <v>RAID-064</v>
      </c>
      <c r="B65" s="5"/>
      <c r="C65" s="13"/>
      <c r="D65" s="5"/>
      <c r="E65" s="5"/>
      <c r="G65" s="13"/>
      <c r="H65" s="5"/>
    </row>
    <row r="66">
      <c r="A66" s="5" t="str">
        <f t="shared" si="1"/>
        <v>RAID-065</v>
      </c>
      <c r="B66" s="5"/>
      <c r="C66" s="13"/>
      <c r="D66" s="5"/>
      <c r="E66" s="5"/>
      <c r="G66" s="13"/>
      <c r="H66" s="5"/>
    </row>
    <row r="67">
      <c r="A67" s="5" t="str">
        <f t="shared" si="1"/>
        <v>RAID-066</v>
      </c>
      <c r="B67" s="5"/>
      <c r="C67" s="13"/>
      <c r="D67" s="5"/>
      <c r="E67" s="5"/>
      <c r="G67" s="13"/>
      <c r="H67" s="5"/>
    </row>
    <row r="68">
      <c r="A68" s="5" t="str">
        <f t="shared" si="1"/>
        <v>RAID-067</v>
      </c>
      <c r="B68" s="5"/>
      <c r="C68" s="13"/>
      <c r="D68" s="5"/>
      <c r="E68" s="5"/>
      <c r="G68" s="13"/>
      <c r="H68" s="5"/>
    </row>
    <row r="69">
      <c r="A69" s="5" t="str">
        <f t="shared" si="1"/>
        <v>RAID-068</v>
      </c>
      <c r="B69" s="5"/>
      <c r="C69" s="13"/>
      <c r="D69" s="5"/>
      <c r="E69" s="5"/>
      <c r="G69" s="13"/>
      <c r="H69" s="5"/>
    </row>
    <row r="70">
      <c r="A70" s="5" t="str">
        <f t="shared" si="1"/>
        <v>RAID-069</v>
      </c>
      <c r="B70" s="5"/>
      <c r="C70" s="13"/>
      <c r="D70" s="5"/>
      <c r="E70" s="5"/>
      <c r="G70" s="13"/>
      <c r="H70" s="5"/>
    </row>
    <row r="71">
      <c r="A71" s="5" t="str">
        <f t="shared" si="1"/>
        <v>RAID-070</v>
      </c>
      <c r="B71" s="5"/>
      <c r="C71" s="13"/>
      <c r="D71" s="5"/>
      <c r="E71" s="5"/>
      <c r="G71" s="13"/>
      <c r="H71" s="5"/>
    </row>
    <row r="72">
      <c r="A72" s="5" t="str">
        <f t="shared" si="1"/>
        <v>RAID-071</v>
      </c>
      <c r="B72" s="5"/>
      <c r="C72" s="13"/>
      <c r="D72" s="5"/>
      <c r="E72" s="5"/>
      <c r="G72" s="13"/>
      <c r="H72" s="5"/>
    </row>
    <row r="73">
      <c r="A73" s="5" t="str">
        <f t="shared" si="1"/>
        <v>RAID-072</v>
      </c>
      <c r="B73" s="5"/>
      <c r="C73" s="13"/>
      <c r="D73" s="5"/>
      <c r="E73" s="5"/>
      <c r="G73" s="13"/>
      <c r="H73" s="5"/>
    </row>
    <row r="74">
      <c r="A74" s="5" t="str">
        <f t="shared" si="1"/>
        <v>RAID-073</v>
      </c>
      <c r="B74" s="5"/>
      <c r="C74" s="13"/>
      <c r="D74" s="5"/>
      <c r="E74" s="5"/>
      <c r="G74" s="13"/>
      <c r="H74" s="5"/>
    </row>
    <row r="75">
      <c r="A75" s="5" t="str">
        <f t="shared" si="1"/>
        <v>RAID-074</v>
      </c>
      <c r="B75" s="5"/>
      <c r="C75" s="13"/>
      <c r="D75" s="5"/>
      <c r="E75" s="5"/>
      <c r="G75" s="13"/>
      <c r="H75" s="5"/>
    </row>
    <row r="76">
      <c r="A76" s="5" t="str">
        <f t="shared" si="1"/>
        <v>RAID-075</v>
      </c>
      <c r="B76" s="5"/>
      <c r="C76" s="13"/>
      <c r="D76" s="5"/>
      <c r="E76" s="5"/>
      <c r="G76" s="13"/>
      <c r="H76" s="5"/>
    </row>
    <row r="77">
      <c r="A77" s="5" t="str">
        <f t="shared" si="1"/>
        <v>RAID-076</v>
      </c>
      <c r="B77" s="5"/>
      <c r="C77" s="13"/>
      <c r="D77" s="5"/>
      <c r="E77" s="5"/>
      <c r="G77" s="13"/>
      <c r="H77" s="5"/>
    </row>
    <row r="78">
      <c r="A78" s="5" t="str">
        <f t="shared" si="1"/>
        <v>RAID-077</v>
      </c>
      <c r="B78" s="5"/>
      <c r="C78" s="13"/>
      <c r="D78" s="5"/>
      <c r="E78" s="5"/>
      <c r="G78" s="13"/>
      <c r="H78" s="5"/>
    </row>
    <row r="79">
      <c r="A79" s="5" t="str">
        <f t="shared" si="1"/>
        <v>RAID-078</v>
      </c>
      <c r="B79" s="5"/>
      <c r="C79" s="13"/>
      <c r="D79" s="5"/>
      <c r="E79" s="5"/>
      <c r="G79" s="13"/>
      <c r="H79" s="5"/>
    </row>
    <row r="80">
      <c r="A80" s="5" t="str">
        <f t="shared" si="1"/>
        <v>RAID-079</v>
      </c>
      <c r="B80" s="5"/>
      <c r="C80" s="13"/>
      <c r="D80" s="5"/>
      <c r="E80" s="5"/>
      <c r="G80" s="13"/>
      <c r="H80" s="5"/>
    </row>
    <row r="81">
      <c r="A81" s="5" t="str">
        <f t="shared" si="1"/>
        <v>RAID-080</v>
      </c>
      <c r="B81" s="5"/>
      <c r="C81" s="13"/>
      <c r="D81" s="5"/>
      <c r="E81" s="5"/>
      <c r="G81" s="13"/>
      <c r="H81" s="5"/>
    </row>
    <row r="82">
      <c r="A82" s="5" t="str">
        <f t="shared" si="1"/>
        <v>RAID-081</v>
      </c>
      <c r="B82" s="5"/>
      <c r="C82" s="13"/>
      <c r="D82" s="5"/>
      <c r="E82" s="5"/>
      <c r="G82" s="13"/>
      <c r="H82" s="5"/>
    </row>
    <row r="83">
      <c r="A83" s="5" t="str">
        <f t="shared" si="1"/>
        <v>RAID-082</v>
      </c>
      <c r="B83" s="5"/>
      <c r="C83" s="13"/>
      <c r="D83" s="5"/>
      <c r="E83" s="5"/>
      <c r="G83" s="13"/>
      <c r="H83" s="5"/>
    </row>
    <row r="84">
      <c r="A84" s="5" t="str">
        <f t="shared" si="1"/>
        <v>RAID-083</v>
      </c>
      <c r="B84" s="5"/>
      <c r="C84" s="13"/>
      <c r="D84" s="5"/>
      <c r="E84" s="5"/>
      <c r="G84" s="13"/>
      <c r="H84" s="5"/>
    </row>
    <row r="85">
      <c r="A85" s="5" t="str">
        <f t="shared" si="1"/>
        <v>RAID-084</v>
      </c>
      <c r="B85" s="5"/>
      <c r="C85" s="13"/>
      <c r="D85" s="5"/>
      <c r="E85" s="5"/>
      <c r="G85" s="13"/>
      <c r="H85" s="5"/>
    </row>
    <row r="86">
      <c r="A86" s="5" t="str">
        <f t="shared" si="1"/>
        <v>RAID-085</v>
      </c>
      <c r="B86" s="5"/>
      <c r="C86" s="13"/>
      <c r="D86" s="5"/>
      <c r="E86" s="5"/>
      <c r="G86" s="13"/>
      <c r="H86" s="5"/>
    </row>
    <row r="87">
      <c r="A87" s="5" t="str">
        <f t="shared" si="1"/>
        <v>RAID-086</v>
      </c>
      <c r="B87" s="5"/>
      <c r="C87" s="13"/>
      <c r="D87" s="5"/>
      <c r="E87" s="5"/>
      <c r="G87" s="13"/>
      <c r="H87" s="5"/>
    </row>
    <row r="88">
      <c r="A88" s="5" t="str">
        <f t="shared" si="1"/>
        <v>RAID-087</v>
      </c>
      <c r="B88" s="5"/>
      <c r="C88" s="13"/>
      <c r="D88" s="5"/>
      <c r="E88" s="5"/>
      <c r="G88" s="13"/>
      <c r="H88" s="5"/>
    </row>
    <row r="89">
      <c r="A89" s="5" t="str">
        <f t="shared" si="1"/>
        <v>RAID-088</v>
      </c>
      <c r="B89" s="5"/>
      <c r="C89" s="13"/>
      <c r="D89" s="5"/>
      <c r="E89" s="5"/>
      <c r="G89" s="13"/>
      <c r="H89" s="5"/>
    </row>
    <row r="90">
      <c r="A90" s="5" t="str">
        <f t="shared" si="1"/>
        <v>RAID-089</v>
      </c>
      <c r="B90" s="5"/>
      <c r="C90" s="13"/>
      <c r="D90" s="5"/>
      <c r="E90" s="5"/>
      <c r="G90" s="13"/>
      <c r="H90" s="5"/>
    </row>
    <row r="91">
      <c r="A91" s="5" t="str">
        <f t="shared" si="1"/>
        <v>RAID-090</v>
      </c>
      <c r="B91" s="5"/>
      <c r="C91" s="13"/>
      <c r="D91" s="5"/>
      <c r="E91" s="5"/>
      <c r="G91" s="13"/>
      <c r="H91" s="5"/>
    </row>
    <row r="92">
      <c r="A92" s="5" t="str">
        <f t="shared" si="1"/>
        <v>RAID-091</v>
      </c>
      <c r="B92" s="5"/>
      <c r="C92" s="13"/>
      <c r="D92" s="5"/>
      <c r="E92" s="5"/>
      <c r="G92" s="13"/>
      <c r="H92" s="5"/>
    </row>
    <row r="93">
      <c r="A93" s="5" t="str">
        <f t="shared" si="1"/>
        <v>RAID-092</v>
      </c>
      <c r="B93" s="5"/>
      <c r="C93" s="13"/>
      <c r="D93" s="5"/>
      <c r="E93" s="5"/>
      <c r="G93" s="13"/>
      <c r="H93" s="5"/>
    </row>
    <row r="94">
      <c r="A94" s="5" t="str">
        <f t="shared" si="1"/>
        <v>RAID-093</v>
      </c>
      <c r="B94" s="5"/>
      <c r="C94" s="13"/>
      <c r="D94" s="5"/>
      <c r="E94" s="5"/>
      <c r="G94" s="13"/>
      <c r="H94" s="5"/>
    </row>
    <row r="95">
      <c r="A95" s="5" t="str">
        <f t="shared" si="1"/>
        <v>RAID-094</v>
      </c>
      <c r="B95" s="5"/>
      <c r="C95" s="13"/>
      <c r="D95" s="5"/>
      <c r="E95" s="5"/>
      <c r="G95" s="13"/>
      <c r="H95" s="5"/>
    </row>
    <row r="96">
      <c r="A96" s="5" t="str">
        <f t="shared" si="1"/>
        <v>RAID-095</v>
      </c>
      <c r="B96" s="5"/>
      <c r="C96" s="13"/>
      <c r="D96" s="5"/>
      <c r="E96" s="5"/>
      <c r="G96" s="13"/>
      <c r="H96" s="5"/>
    </row>
    <row r="97">
      <c r="A97" s="5" t="str">
        <f t="shared" si="1"/>
        <v>RAID-096</v>
      </c>
      <c r="B97" s="5"/>
      <c r="C97" s="13"/>
      <c r="D97" s="5"/>
      <c r="E97" s="5"/>
      <c r="G97" s="13"/>
      <c r="H97" s="5"/>
    </row>
    <row r="98">
      <c r="A98" s="5" t="str">
        <f t="shared" si="1"/>
        <v>RAID-097</v>
      </c>
      <c r="B98" s="5"/>
      <c r="C98" s="13"/>
      <c r="D98" s="5"/>
      <c r="E98" s="5"/>
      <c r="G98" s="13"/>
      <c r="H98" s="5"/>
    </row>
    <row r="99">
      <c r="A99" s="5" t="str">
        <f t="shared" si="1"/>
        <v>RAID-098</v>
      </c>
      <c r="B99" s="5"/>
      <c r="C99" s="13"/>
      <c r="D99" s="5"/>
      <c r="E99" s="5"/>
      <c r="G99" s="13"/>
      <c r="H99" s="5"/>
    </row>
    <row r="100">
      <c r="A100" s="5" t="str">
        <f t="shared" si="1"/>
        <v>RAID-099</v>
      </c>
      <c r="B100" s="5"/>
      <c r="C100" s="13"/>
      <c r="D100" s="5"/>
      <c r="E100" s="5"/>
      <c r="G100" s="13"/>
      <c r="H100" s="5"/>
    </row>
    <row r="101">
      <c r="C101" s="13"/>
      <c r="G101" s="13"/>
    </row>
    <row r="102">
      <c r="C102" s="13"/>
      <c r="G102" s="13"/>
    </row>
    <row r="103">
      <c r="C103" s="13"/>
      <c r="G103" s="13"/>
    </row>
    <row r="104">
      <c r="C104" s="13"/>
      <c r="G104" s="13"/>
    </row>
    <row r="105">
      <c r="C105" s="13"/>
      <c r="G105" s="13"/>
    </row>
    <row r="106">
      <c r="C106" s="13"/>
      <c r="G106" s="13"/>
    </row>
    <row r="107">
      <c r="C107" s="13"/>
      <c r="G107" s="13"/>
    </row>
    <row r="108">
      <c r="C108" s="13"/>
      <c r="G108" s="13"/>
    </row>
    <row r="109">
      <c r="C109" s="13"/>
      <c r="G109" s="13"/>
    </row>
    <row r="110">
      <c r="C110" s="13"/>
      <c r="G110" s="13"/>
    </row>
    <row r="111">
      <c r="C111" s="13"/>
      <c r="G111" s="13"/>
    </row>
    <row r="112">
      <c r="C112" s="13"/>
      <c r="G112" s="13"/>
    </row>
    <row r="113">
      <c r="C113" s="13"/>
      <c r="G113" s="13"/>
    </row>
    <row r="114">
      <c r="C114" s="13"/>
      <c r="G114" s="13"/>
    </row>
    <row r="115">
      <c r="C115" s="13"/>
      <c r="G115" s="13"/>
    </row>
    <row r="116">
      <c r="C116" s="13"/>
      <c r="G116" s="13"/>
    </row>
    <row r="117">
      <c r="C117" s="13"/>
      <c r="G117" s="13"/>
    </row>
    <row r="118">
      <c r="C118" s="13"/>
      <c r="G118" s="13"/>
    </row>
    <row r="119">
      <c r="C119" s="13"/>
      <c r="G119" s="13"/>
    </row>
    <row r="120">
      <c r="C120" s="13"/>
      <c r="G120" s="13"/>
    </row>
    <row r="121">
      <c r="C121" s="13"/>
      <c r="G121" s="13"/>
    </row>
    <row r="122">
      <c r="C122" s="13"/>
      <c r="G122" s="13"/>
    </row>
    <row r="123">
      <c r="C123" s="13"/>
      <c r="G123" s="13"/>
    </row>
    <row r="124">
      <c r="C124" s="13"/>
      <c r="G124" s="13"/>
    </row>
    <row r="125">
      <c r="C125" s="13"/>
      <c r="G125" s="13"/>
    </row>
    <row r="126">
      <c r="C126" s="13"/>
      <c r="G126" s="13"/>
    </row>
    <row r="127">
      <c r="C127" s="13"/>
      <c r="G127" s="13"/>
    </row>
    <row r="128">
      <c r="C128" s="13"/>
      <c r="G128" s="13"/>
    </row>
    <row r="129">
      <c r="C129" s="13"/>
      <c r="G129" s="13"/>
    </row>
    <row r="130">
      <c r="C130" s="13"/>
      <c r="G130" s="13"/>
    </row>
    <row r="131">
      <c r="C131" s="13"/>
      <c r="G131" s="13"/>
    </row>
    <row r="132">
      <c r="C132" s="13"/>
      <c r="G132" s="13"/>
    </row>
    <row r="133">
      <c r="C133" s="13"/>
      <c r="G133" s="13"/>
    </row>
    <row r="134">
      <c r="C134" s="13"/>
      <c r="G134" s="13"/>
    </row>
    <row r="135">
      <c r="C135" s="13"/>
      <c r="G135" s="13"/>
    </row>
    <row r="136">
      <c r="C136" s="13"/>
      <c r="G136" s="13"/>
    </row>
    <row r="137">
      <c r="C137" s="13"/>
      <c r="G137" s="13"/>
    </row>
    <row r="138">
      <c r="C138" s="13"/>
      <c r="G138" s="13"/>
    </row>
    <row r="139">
      <c r="C139" s="13"/>
      <c r="G139" s="13"/>
    </row>
    <row r="140">
      <c r="C140" s="13"/>
      <c r="G140" s="13"/>
    </row>
    <row r="141">
      <c r="C141" s="13"/>
      <c r="G141" s="13"/>
    </row>
    <row r="142">
      <c r="C142" s="13"/>
      <c r="G142" s="13"/>
    </row>
    <row r="143">
      <c r="C143" s="13"/>
      <c r="G143" s="13"/>
    </row>
    <row r="144">
      <c r="C144" s="13"/>
      <c r="G144" s="13"/>
    </row>
    <row r="145">
      <c r="C145" s="13"/>
      <c r="G145" s="13"/>
    </row>
    <row r="146">
      <c r="C146" s="13"/>
      <c r="G146" s="13"/>
    </row>
    <row r="147">
      <c r="C147" s="13"/>
      <c r="G147" s="13"/>
    </row>
    <row r="148">
      <c r="C148" s="13"/>
      <c r="G148" s="13"/>
    </row>
    <row r="149">
      <c r="C149" s="13"/>
      <c r="G149" s="13"/>
    </row>
    <row r="150">
      <c r="C150" s="13"/>
      <c r="G150" s="13"/>
    </row>
    <row r="151">
      <c r="C151" s="13"/>
      <c r="G151" s="13"/>
    </row>
    <row r="152">
      <c r="C152" s="13"/>
      <c r="G152" s="13"/>
    </row>
    <row r="153">
      <c r="C153" s="13"/>
      <c r="G153" s="13"/>
    </row>
    <row r="154">
      <c r="C154" s="13"/>
      <c r="G154" s="13"/>
    </row>
    <row r="155">
      <c r="C155" s="13"/>
      <c r="G155" s="13"/>
    </row>
    <row r="156">
      <c r="C156" s="13"/>
      <c r="G156" s="13"/>
    </row>
    <row r="157">
      <c r="C157" s="13"/>
      <c r="G157" s="13"/>
    </row>
    <row r="158">
      <c r="C158" s="13"/>
      <c r="G158" s="13"/>
    </row>
    <row r="159">
      <c r="C159" s="13"/>
      <c r="G159" s="13"/>
    </row>
    <row r="160">
      <c r="C160" s="13"/>
      <c r="G160" s="13"/>
    </row>
    <row r="161">
      <c r="C161" s="13"/>
      <c r="G161" s="13"/>
    </row>
    <row r="162">
      <c r="C162" s="13"/>
      <c r="G162" s="13"/>
    </row>
    <row r="163">
      <c r="C163" s="13"/>
      <c r="G163" s="13"/>
    </row>
    <row r="164">
      <c r="C164" s="13"/>
      <c r="G164" s="13"/>
    </row>
    <row r="165">
      <c r="C165" s="13"/>
      <c r="G165" s="13"/>
    </row>
    <row r="166">
      <c r="C166" s="13"/>
      <c r="G166" s="13"/>
    </row>
    <row r="167">
      <c r="C167" s="13"/>
      <c r="G167" s="13"/>
    </row>
    <row r="168">
      <c r="C168" s="13"/>
      <c r="G168" s="13"/>
    </row>
    <row r="169">
      <c r="C169" s="13"/>
      <c r="G169" s="13"/>
    </row>
    <row r="170">
      <c r="C170" s="13"/>
      <c r="G170" s="13"/>
    </row>
    <row r="171">
      <c r="C171" s="13"/>
      <c r="G171" s="13"/>
    </row>
    <row r="172">
      <c r="C172" s="13"/>
      <c r="G172" s="13"/>
    </row>
    <row r="173">
      <c r="C173" s="13"/>
      <c r="G173" s="13"/>
    </row>
    <row r="174">
      <c r="C174" s="13"/>
      <c r="G174" s="13"/>
    </row>
    <row r="175">
      <c r="C175" s="13"/>
      <c r="G175" s="13"/>
    </row>
    <row r="176">
      <c r="C176" s="13"/>
      <c r="G176" s="13"/>
    </row>
    <row r="177">
      <c r="C177" s="13"/>
      <c r="G177" s="13"/>
    </row>
    <row r="178">
      <c r="C178" s="13"/>
      <c r="G178" s="13"/>
    </row>
    <row r="179">
      <c r="C179" s="13"/>
      <c r="G179" s="13"/>
    </row>
    <row r="180">
      <c r="C180" s="13"/>
      <c r="G180" s="13"/>
    </row>
    <row r="181">
      <c r="C181" s="13"/>
      <c r="G181" s="13"/>
    </row>
    <row r="182">
      <c r="C182" s="13"/>
      <c r="G182" s="13"/>
    </row>
    <row r="183">
      <c r="C183" s="13"/>
      <c r="G183" s="13"/>
    </row>
    <row r="184">
      <c r="C184" s="13"/>
      <c r="G184" s="13"/>
    </row>
    <row r="185">
      <c r="C185" s="13"/>
      <c r="G185" s="13"/>
    </row>
    <row r="186">
      <c r="C186" s="13"/>
      <c r="G186" s="13"/>
    </row>
    <row r="187">
      <c r="C187" s="13"/>
      <c r="G187" s="13"/>
    </row>
    <row r="188">
      <c r="C188" s="13"/>
      <c r="G188" s="13"/>
    </row>
    <row r="189">
      <c r="C189" s="13"/>
      <c r="G189" s="13"/>
    </row>
    <row r="190">
      <c r="C190" s="13"/>
      <c r="G190" s="13"/>
    </row>
    <row r="191">
      <c r="C191" s="13"/>
      <c r="G191" s="13"/>
    </row>
    <row r="192">
      <c r="C192" s="13"/>
      <c r="G192" s="13"/>
    </row>
    <row r="193">
      <c r="C193" s="13"/>
      <c r="G193" s="13"/>
    </row>
    <row r="194">
      <c r="C194" s="13"/>
      <c r="G194" s="13"/>
    </row>
    <row r="195">
      <c r="C195" s="13"/>
      <c r="G195" s="13"/>
    </row>
    <row r="196">
      <c r="C196" s="13"/>
      <c r="G196" s="13"/>
    </row>
    <row r="197">
      <c r="C197" s="13"/>
      <c r="G197" s="13"/>
    </row>
    <row r="198">
      <c r="C198" s="13"/>
      <c r="G198" s="13"/>
    </row>
    <row r="199">
      <c r="C199" s="13"/>
      <c r="G199" s="13"/>
    </row>
    <row r="200">
      <c r="C200" s="13"/>
      <c r="G200" s="13"/>
    </row>
    <row r="201">
      <c r="C201" s="13"/>
      <c r="G201" s="13"/>
    </row>
    <row r="202">
      <c r="C202" s="13"/>
      <c r="G202" s="13"/>
    </row>
    <row r="203">
      <c r="C203" s="13"/>
      <c r="G203" s="13"/>
    </row>
    <row r="204">
      <c r="C204" s="13"/>
      <c r="G204" s="13"/>
    </row>
    <row r="205">
      <c r="C205" s="13"/>
      <c r="G205" s="13"/>
    </row>
    <row r="206">
      <c r="C206" s="13"/>
      <c r="G206" s="13"/>
    </row>
    <row r="207">
      <c r="C207" s="13"/>
      <c r="G207" s="13"/>
    </row>
    <row r="208">
      <c r="C208" s="13"/>
      <c r="G208" s="13"/>
    </row>
    <row r="209">
      <c r="C209" s="13"/>
      <c r="G209" s="13"/>
    </row>
    <row r="210">
      <c r="C210" s="13"/>
      <c r="G210" s="13"/>
    </row>
    <row r="211">
      <c r="C211" s="13"/>
      <c r="G211" s="13"/>
    </row>
    <row r="212">
      <c r="C212" s="13"/>
      <c r="G212" s="13"/>
    </row>
    <row r="213">
      <c r="C213" s="13"/>
      <c r="G213" s="13"/>
    </row>
    <row r="214">
      <c r="C214" s="13"/>
      <c r="G214" s="13"/>
    </row>
    <row r="215">
      <c r="C215" s="13"/>
      <c r="G215" s="13"/>
    </row>
    <row r="216">
      <c r="C216" s="13"/>
      <c r="G216" s="13"/>
    </row>
    <row r="217">
      <c r="C217" s="13"/>
      <c r="G217" s="13"/>
    </row>
    <row r="218">
      <c r="C218" s="13"/>
      <c r="G218" s="13"/>
    </row>
    <row r="219">
      <c r="C219" s="13"/>
      <c r="G219" s="13"/>
    </row>
    <row r="220">
      <c r="C220" s="13"/>
      <c r="G220" s="13"/>
    </row>
    <row r="221">
      <c r="C221" s="13"/>
      <c r="G221" s="13"/>
    </row>
    <row r="222">
      <c r="C222" s="13"/>
      <c r="G222" s="13"/>
    </row>
    <row r="223">
      <c r="C223" s="13"/>
      <c r="G223" s="13"/>
    </row>
    <row r="224">
      <c r="C224" s="13"/>
      <c r="G224" s="13"/>
    </row>
    <row r="225">
      <c r="C225" s="13"/>
      <c r="G225" s="13"/>
    </row>
    <row r="226">
      <c r="C226" s="13"/>
      <c r="G226" s="13"/>
    </row>
    <row r="227">
      <c r="C227" s="13"/>
      <c r="G227" s="13"/>
    </row>
    <row r="228">
      <c r="C228" s="13"/>
      <c r="G228" s="13"/>
    </row>
    <row r="229">
      <c r="C229" s="13"/>
      <c r="G229" s="13"/>
    </row>
    <row r="230">
      <c r="C230" s="13"/>
      <c r="G230" s="13"/>
    </row>
    <row r="231">
      <c r="C231" s="13"/>
      <c r="G231" s="13"/>
    </row>
    <row r="232">
      <c r="C232" s="13"/>
      <c r="G232" s="13"/>
    </row>
    <row r="233">
      <c r="C233" s="13"/>
      <c r="G233" s="13"/>
    </row>
    <row r="234">
      <c r="C234" s="13"/>
      <c r="G234" s="13"/>
    </row>
    <row r="235">
      <c r="C235" s="13"/>
      <c r="G235" s="13"/>
    </row>
    <row r="236">
      <c r="C236" s="13"/>
      <c r="G236" s="13"/>
    </row>
    <row r="237">
      <c r="C237" s="13"/>
      <c r="G237" s="13"/>
    </row>
    <row r="238">
      <c r="C238" s="13"/>
      <c r="G238" s="13"/>
    </row>
    <row r="239">
      <c r="C239" s="13"/>
      <c r="G239" s="13"/>
    </row>
    <row r="240">
      <c r="C240" s="13"/>
      <c r="G240" s="13"/>
    </row>
    <row r="241">
      <c r="C241" s="13"/>
      <c r="G241" s="13"/>
    </row>
    <row r="242">
      <c r="C242" s="13"/>
      <c r="G242" s="13"/>
    </row>
    <row r="243">
      <c r="C243" s="13"/>
      <c r="G243" s="13"/>
    </row>
    <row r="244">
      <c r="C244" s="13"/>
      <c r="G244" s="13"/>
    </row>
    <row r="245">
      <c r="C245" s="13"/>
      <c r="G245" s="13"/>
    </row>
    <row r="246">
      <c r="C246" s="13"/>
      <c r="G246" s="13"/>
    </row>
    <row r="247">
      <c r="C247" s="13"/>
      <c r="G247" s="13"/>
    </row>
    <row r="248">
      <c r="C248" s="13"/>
      <c r="G248" s="13"/>
    </row>
    <row r="249">
      <c r="C249" s="13"/>
      <c r="G249" s="13"/>
    </row>
    <row r="250">
      <c r="C250" s="13"/>
      <c r="G250" s="13"/>
    </row>
    <row r="251">
      <c r="C251" s="13"/>
      <c r="G251" s="13"/>
    </row>
    <row r="252">
      <c r="C252" s="13"/>
      <c r="G252" s="13"/>
    </row>
    <row r="253">
      <c r="C253" s="13"/>
      <c r="G253" s="13"/>
    </row>
    <row r="254">
      <c r="C254" s="13"/>
      <c r="G254" s="13"/>
    </row>
    <row r="255">
      <c r="C255" s="13"/>
      <c r="G255" s="13"/>
    </row>
    <row r="256">
      <c r="C256" s="13"/>
      <c r="G256" s="13"/>
    </row>
    <row r="257">
      <c r="C257" s="13"/>
      <c r="G257" s="13"/>
    </row>
    <row r="258">
      <c r="C258" s="13"/>
      <c r="G258" s="13"/>
    </row>
    <row r="259">
      <c r="C259" s="13"/>
      <c r="G259" s="13"/>
    </row>
    <row r="260">
      <c r="C260" s="13"/>
      <c r="G260" s="13"/>
    </row>
    <row r="261">
      <c r="C261" s="13"/>
      <c r="G261" s="13"/>
    </row>
    <row r="262">
      <c r="C262" s="13"/>
      <c r="G262" s="13"/>
    </row>
    <row r="263">
      <c r="C263" s="13"/>
      <c r="G263" s="13"/>
    </row>
    <row r="264">
      <c r="C264" s="13"/>
      <c r="G264" s="13"/>
    </row>
    <row r="265">
      <c r="C265" s="13"/>
      <c r="G265" s="13"/>
    </row>
    <row r="266">
      <c r="C266" s="13"/>
      <c r="G266" s="13"/>
    </row>
    <row r="267">
      <c r="C267" s="13"/>
      <c r="G267" s="13"/>
    </row>
    <row r="268">
      <c r="C268" s="13"/>
      <c r="G268" s="13"/>
    </row>
    <row r="269">
      <c r="C269" s="13"/>
      <c r="G269" s="13"/>
    </row>
    <row r="270">
      <c r="C270" s="13"/>
      <c r="G270" s="13"/>
    </row>
    <row r="271">
      <c r="C271" s="13"/>
      <c r="G271" s="13"/>
    </row>
    <row r="272">
      <c r="C272" s="13"/>
      <c r="G272" s="13"/>
    </row>
    <row r="273">
      <c r="C273" s="13"/>
      <c r="G273" s="13"/>
    </row>
    <row r="274">
      <c r="C274" s="13"/>
      <c r="G274" s="13"/>
    </row>
    <row r="275">
      <c r="C275" s="13"/>
      <c r="G275" s="13"/>
    </row>
    <row r="276">
      <c r="C276" s="13"/>
      <c r="G276" s="13"/>
    </row>
    <row r="277">
      <c r="C277" s="13"/>
      <c r="G277" s="13"/>
    </row>
    <row r="278">
      <c r="C278" s="13"/>
      <c r="G278" s="13"/>
    </row>
    <row r="279">
      <c r="C279" s="13"/>
      <c r="G279" s="13"/>
    </row>
    <row r="280">
      <c r="C280" s="13"/>
      <c r="G280" s="13"/>
    </row>
    <row r="281">
      <c r="C281" s="13"/>
      <c r="G281" s="13"/>
    </row>
    <row r="282">
      <c r="C282" s="13"/>
      <c r="G282" s="13"/>
    </row>
    <row r="283">
      <c r="C283" s="13"/>
      <c r="G283" s="13"/>
    </row>
    <row r="284">
      <c r="C284" s="13"/>
      <c r="G284" s="13"/>
    </row>
    <row r="285">
      <c r="C285" s="13"/>
      <c r="G285" s="13"/>
    </row>
    <row r="286">
      <c r="C286" s="13"/>
      <c r="G286" s="13"/>
    </row>
    <row r="287">
      <c r="C287" s="13"/>
      <c r="G287" s="13"/>
    </row>
    <row r="288">
      <c r="C288" s="13"/>
      <c r="G288" s="13"/>
    </row>
    <row r="289">
      <c r="C289" s="13"/>
      <c r="G289" s="13"/>
    </row>
    <row r="290">
      <c r="C290" s="13"/>
      <c r="G290" s="13"/>
    </row>
    <row r="291">
      <c r="C291" s="13"/>
      <c r="G291" s="13"/>
    </row>
    <row r="292">
      <c r="C292" s="13"/>
      <c r="G292" s="13"/>
    </row>
    <row r="293">
      <c r="C293" s="13"/>
      <c r="G293" s="13"/>
    </row>
    <row r="294">
      <c r="C294" s="13"/>
      <c r="G294" s="13"/>
    </row>
    <row r="295">
      <c r="C295" s="13"/>
      <c r="G295" s="13"/>
    </row>
    <row r="296">
      <c r="C296" s="13"/>
      <c r="G296" s="13"/>
    </row>
    <row r="297">
      <c r="C297" s="13"/>
      <c r="G297" s="13"/>
    </row>
    <row r="298">
      <c r="C298" s="13"/>
      <c r="G298" s="13"/>
    </row>
    <row r="299">
      <c r="C299" s="13"/>
      <c r="G299" s="13"/>
    </row>
    <row r="300">
      <c r="C300" s="13"/>
      <c r="G300" s="13"/>
    </row>
    <row r="301">
      <c r="C301" s="13"/>
      <c r="G301" s="13"/>
    </row>
    <row r="302">
      <c r="C302" s="13"/>
      <c r="G302" s="13"/>
    </row>
    <row r="303">
      <c r="C303" s="13"/>
      <c r="G303" s="13"/>
    </row>
    <row r="304">
      <c r="C304" s="13"/>
      <c r="G304" s="13"/>
    </row>
    <row r="305">
      <c r="C305" s="13"/>
      <c r="G305" s="13"/>
    </row>
    <row r="306">
      <c r="C306" s="13"/>
      <c r="G306" s="13"/>
    </row>
    <row r="307">
      <c r="C307" s="13"/>
      <c r="G307" s="13"/>
    </row>
    <row r="308">
      <c r="C308" s="13"/>
      <c r="G308" s="13"/>
    </row>
    <row r="309">
      <c r="C309" s="13"/>
      <c r="G309" s="13"/>
    </row>
    <row r="310">
      <c r="C310" s="13"/>
      <c r="G310" s="13"/>
    </row>
    <row r="311">
      <c r="C311" s="13"/>
      <c r="G311" s="13"/>
    </row>
    <row r="312">
      <c r="C312" s="13"/>
      <c r="G312" s="13"/>
    </row>
    <row r="313">
      <c r="C313" s="13"/>
      <c r="G313" s="13"/>
    </row>
    <row r="314">
      <c r="C314" s="13"/>
      <c r="G314" s="13"/>
    </row>
    <row r="315">
      <c r="C315" s="13"/>
      <c r="G315" s="13"/>
    </row>
    <row r="316">
      <c r="C316" s="13"/>
      <c r="G316" s="13"/>
    </row>
    <row r="317">
      <c r="C317" s="13"/>
      <c r="G317" s="13"/>
    </row>
    <row r="318">
      <c r="C318" s="13"/>
      <c r="G318" s="13"/>
    </row>
    <row r="319">
      <c r="C319" s="13"/>
      <c r="G319" s="13"/>
    </row>
    <row r="320">
      <c r="C320" s="13"/>
      <c r="G320" s="13"/>
    </row>
    <row r="321">
      <c r="C321" s="13"/>
      <c r="G321" s="13"/>
    </row>
    <row r="322">
      <c r="C322" s="13"/>
      <c r="G322" s="13"/>
    </row>
    <row r="323">
      <c r="C323" s="13"/>
      <c r="G323" s="13"/>
    </row>
    <row r="324">
      <c r="C324" s="13"/>
      <c r="G324" s="13"/>
    </row>
    <row r="325">
      <c r="C325" s="13"/>
      <c r="G325" s="13"/>
    </row>
    <row r="326">
      <c r="C326" s="13"/>
      <c r="G326" s="13"/>
    </row>
    <row r="327">
      <c r="C327" s="13"/>
      <c r="G327" s="13"/>
    </row>
    <row r="328">
      <c r="C328" s="13"/>
      <c r="G328" s="13"/>
    </row>
    <row r="329">
      <c r="C329" s="13"/>
      <c r="G329" s="13"/>
    </row>
    <row r="330">
      <c r="C330" s="13"/>
      <c r="G330" s="13"/>
    </row>
    <row r="331">
      <c r="C331" s="13"/>
      <c r="G331" s="13"/>
    </row>
    <row r="332">
      <c r="C332" s="13"/>
      <c r="G332" s="13"/>
    </row>
    <row r="333">
      <c r="C333" s="13"/>
      <c r="G333" s="13"/>
    </row>
    <row r="334">
      <c r="C334" s="13"/>
      <c r="G334" s="13"/>
    </row>
    <row r="335">
      <c r="C335" s="13"/>
      <c r="G335" s="13"/>
    </row>
    <row r="336">
      <c r="C336" s="13"/>
      <c r="G336" s="13"/>
    </row>
    <row r="337">
      <c r="C337" s="13"/>
      <c r="G337" s="13"/>
    </row>
    <row r="338">
      <c r="C338" s="13"/>
      <c r="G338" s="13"/>
    </row>
    <row r="339">
      <c r="C339" s="13"/>
      <c r="G339" s="13"/>
    </row>
    <row r="340">
      <c r="C340" s="13"/>
      <c r="G340" s="13"/>
    </row>
    <row r="341">
      <c r="C341" s="13"/>
      <c r="G341" s="13"/>
    </row>
    <row r="342">
      <c r="C342" s="13"/>
      <c r="G342" s="13"/>
    </row>
    <row r="343">
      <c r="C343" s="13"/>
      <c r="G343" s="13"/>
    </row>
    <row r="344">
      <c r="C344" s="13"/>
      <c r="G344" s="13"/>
    </row>
    <row r="345">
      <c r="C345" s="13"/>
      <c r="G345" s="13"/>
    </row>
    <row r="346">
      <c r="C346" s="13"/>
      <c r="G346" s="13"/>
    </row>
    <row r="347">
      <c r="C347" s="13"/>
      <c r="G347" s="13"/>
    </row>
    <row r="348">
      <c r="C348" s="13"/>
      <c r="G348" s="13"/>
    </row>
    <row r="349">
      <c r="C349" s="13"/>
      <c r="G349" s="13"/>
    </row>
    <row r="350">
      <c r="C350" s="13"/>
      <c r="G350" s="13"/>
    </row>
    <row r="351">
      <c r="C351" s="13"/>
      <c r="G351" s="13"/>
    </row>
    <row r="352">
      <c r="C352" s="13"/>
      <c r="G352" s="13"/>
    </row>
    <row r="353">
      <c r="C353" s="13"/>
      <c r="G353" s="13"/>
    </row>
    <row r="354">
      <c r="C354" s="13"/>
      <c r="G354" s="13"/>
    </row>
    <row r="355">
      <c r="C355" s="13"/>
      <c r="G355" s="13"/>
    </row>
    <row r="356">
      <c r="C356" s="13"/>
      <c r="G356" s="13"/>
    </row>
    <row r="357">
      <c r="C357" s="13"/>
      <c r="G357" s="13"/>
    </row>
    <row r="358">
      <c r="C358" s="13"/>
      <c r="G358" s="13"/>
    </row>
    <row r="359">
      <c r="C359" s="13"/>
      <c r="G359" s="13"/>
    </row>
    <row r="360">
      <c r="C360" s="13"/>
      <c r="G360" s="13"/>
    </row>
    <row r="361">
      <c r="C361" s="13"/>
      <c r="G361" s="13"/>
    </row>
    <row r="362">
      <c r="C362" s="13"/>
      <c r="G362" s="13"/>
    </row>
    <row r="363">
      <c r="C363" s="13"/>
      <c r="G363" s="13"/>
    </row>
    <row r="364">
      <c r="C364" s="13"/>
      <c r="G364" s="13"/>
    </row>
    <row r="365">
      <c r="C365" s="13"/>
      <c r="G365" s="13"/>
    </row>
    <row r="366">
      <c r="C366" s="13"/>
      <c r="G366" s="13"/>
    </row>
    <row r="367">
      <c r="C367" s="13"/>
      <c r="G367" s="13"/>
    </row>
    <row r="368">
      <c r="C368" s="13"/>
      <c r="G368" s="13"/>
    </row>
    <row r="369">
      <c r="C369" s="13"/>
      <c r="G369" s="13"/>
    </row>
    <row r="370">
      <c r="C370" s="13"/>
      <c r="G370" s="13"/>
    </row>
    <row r="371">
      <c r="C371" s="13"/>
      <c r="G371" s="13"/>
    </row>
    <row r="372">
      <c r="C372" s="13"/>
      <c r="G372" s="13"/>
    </row>
    <row r="373">
      <c r="C373" s="13"/>
      <c r="G373" s="13"/>
    </row>
    <row r="374">
      <c r="C374" s="13"/>
      <c r="G374" s="13"/>
    </row>
    <row r="375">
      <c r="C375" s="13"/>
      <c r="G375" s="13"/>
    </row>
    <row r="376">
      <c r="C376" s="13"/>
      <c r="G376" s="13"/>
    </row>
    <row r="377">
      <c r="C377" s="13"/>
      <c r="G377" s="13"/>
    </row>
    <row r="378">
      <c r="C378" s="13"/>
      <c r="G378" s="13"/>
    </row>
    <row r="379">
      <c r="C379" s="13"/>
      <c r="G379" s="13"/>
    </row>
    <row r="380">
      <c r="C380" s="13"/>
      <c r="G380" s="13"/>
    </row>
    <row r="381">
      <c r="C381" s="13"/>
      <c r="G381" s="13"/>
    </row>
    <row r="382">
      <c r="C382" s="13"/>
      <c r="G382" s="13"/>
    </row>
    <row r="383">
      <c r="C383" s="13"/>
      <c r="G383" s="13"/>
    </row>
    <row r="384">
      <c r="C384" s="13"/>
      <c r="G384" s="13"/>
    </row>
    <row r="385">
      <c r="C385" s="13"/>
      <c r="G385" s="13"/>
    </row>
    <row r="386">
      <c r="C386" s="13"/>
      <c r="G386" s="13"/>
    </row>
    <row r="387">
      <c r="C387" s="13"/>
      <c r="G387" s="13"/>
    </row>
    <row r="388">
      <c r="C388" s="13"/>
      <c r="G388" s="13"/>
    </row>
    <row r="389">
      <c r="C389" s="13"/>
      <c r="G389" s="13"/>
    </row>
    <row r="390">
      <c r="C390" s="13"/>
      <c r="G390" s="13"/>
    </row>
    <row r="391">
      <c r="C391" s="13"/>
      <c r="G391" s="13"/>
    </row>
    <row r="392">
      <c r="C392" s="13"/>
      <c r="G392" s="13"/>
    </row>
    <row r="393">
      <c r="C393" s="13"/>
      <c r="G393" s="13"/>
    </row>
    <row r="394">
      <c r="C394" s="13"/>
      <c r="G394" s="13"/>
    </row>
    <row r="395">
      <c r="C395" s="13"/>
      <c r="G395" s="13"/>
    </row>
    <row r="396">
      <c r="C396" s="13"/>
      <c r="G396" s="13"/>
    </row>
    <row r="397">
      <c r="C397" s="13"/>
      <c r="G397" s="13"/>
    </row>
    <row r="398">
      <c r="C398" s="13"/>
      <c r="G398" s="13"/>
    </row>
    <row r="399">
      <c r="C399" s="13"/>
      <c r="G399" s="13"/>
    </row>
    <row r="400">
      <c r="C400" s="13"/>
      <c r="G400" s="13"/>
    </row>
    <row r="401">
      <c r="C401" s="13"/>
      <c r="G401" s="13"/>
    </row>
    <row r="402">
      <c r="C402" s="13"/>
      <c r="G402" s="13"/>
    </row>
    <row r="403">
      <c r="C403" s="13"/>
      <c r="G403" s="13"/>
    </row>
    <row r="404">
      <c r="C404" s="13"/>
      <c r="G404" s="13"/>
    </row>
    <row r="405">
      <c r="C405" s="13"/>
      <c r="G405" s="13"/>
    </row>
    <row r="406">
      <c r="C406" s="13"/>
      <c r="G406" s="13"/>
    </row>
    <row r="407">
      <c r="C407" s="13"/>
      <c r="G407" s="13"/>
    </row>
    <row r="408">
      <c r="C408" s="13"/>
      <c r="G408" s="13"/>
    </row>
    <row r="409">
      <c r="C409" s="13"/>
      <c r="G409" s="13"/>
    </row>
    <row r="410">
      <c r="C410" s="13"/>
      <c r="G410" s="13"/>
    </row>
    <row r="411">
      <c r="C411" s="13"/>
      <c r="G411" s="13"/>
    </row>
    <row r="412">
      <c r="C412" s="13"/>
      <c r="G412" s="13"/>
    </row>
    <row r="413">
      <c r="C413" s="13"/>
      <c r="G413" s="13"/>
    </row>
    <row r="414">
      <c r="C414" s="13"/>
      <c r="G414" s="13"/>
    </row>
    <row r="415">
      <c r="C415" s="13"/>
      <c r="G415" s="13"/>
    </row>
    <row r="416">
      <c r="C416" s="13"/>
      <c r="G416" s="13"/>
    </row>
    <row r="417">
      <c r="C417" s="13"/>
      <c r="G417" s="13"/>
    </row>
    <row r="418">
      <c r="C418" s="13"/>
      <c r="G418" s="13"/>
    </row>
    <row r="419">
      <c r="C419" s="13"/>
      <c r="G419" s="13"/>
    </row>
    <row r="420">
      <c r="C420" s="13"/>
      <c r="G420" s="13"/>
    </row>
    <row r="421">
      <c r="C421" s="13"/>
      <c r="G421" s="13"/>
    </row>
    <row r="422">
      <c r="C422" s="13"/>
      <c r="G422" s="13"/>
    </row>
    <row r="423">
      <c r="C423" s="13"/>
      <c r="G423" s="13"/>
    </row>
    <row r="424">
      <c r="C424" s="13"/>
      <c r="G424" s="13"/>
    </row>
    <row r="425">
      <c r="C425" s="13"/>
      <c r="G425" s="13"/>
    </row>
    <row r="426">
      <c r="C426" s="13"/>
      <c r="G426" s="13"/>
    </row>
    <row r="427">
      <c r="C427" s="13"/>
      <c r="G427" s="13"/>
    </row>
    <row r="428">
      <c r="C428" s="13"/>
      <c r="G428" s="13"/>
    </row>
    <row r="429">
      <c r="C429" s="13"/>
      <c r="G429" s="13"/>
    </row>
    <row r="430">
      <c r="C430" s="13"/>
      <c r="G430" s="13"/>
    </row>
    <row r="431">
      <c r="C431" s="13"/>
      <c r="G431" s="13"/>
    </row>
    <row r="432">
      <c r="C432" s="13"/>
      <c r="G432" s="13"/>
    </row>
    <row r="433">
      <c r="C433" s="13"/>
      <c r="G433" s="13"/>
    </row>
    <row r="434">
      <c r="C434" s="13"/>
      <c r="G434" s="13"/>
    </row>
    <row r="435">
      <c r="C435" s="13"/>
      <c r="G435" s="13"/>
    </row>
    <row r="436">
      <c r="C436" s="13"/>
      <c r="G436" s="13"/>
    </row>
    <row r="437">
      <c r="C437" s="13"/>
      <c r="G437" s="13"/>
    </row>
    <row r="438">
      <c r="C438" s="13"/>
      <c r="G438" s="13"/>
    </row>
    <row r="439">
      <c r="C439" s="13"/>
      <c r="G439" s="13"/>
    </row>
    <row r="440">
      <c r="C440" s="13"/>
      <c r="G440" s="13"/>
    </row>
    <row r="441">
      <c r="C441" s="13"/>
      <c r="G441" s="13"/>
    </row>
    <row r="442">
      <c r="C442" s="13"/>
      <c r="G442" s="13"/>
    </row>
    <row r="443">
      <c r="C443" s="13"/>
      <c r="G443" s="13"/>
    </row>
    <row r="444">
      <c r="C444" s="13"/>
      <c r="G444" s="13"/>
    </row>
    <row r="445">
      <c r="C445" s="13"/>
      <c r="G445" s="13"/>
    </row>
    <row r="446">
      <c r="C446" s="13"/>
      <c r="G446" s="13"/>
    </row>
    <row r="447">
      <c r="C447" s="13"/>
      <c r="G447" s="13"/>
    </row>
    <row r="448">
      <c r="C448" s="13"/>
      <c r="G448" s="13"/>
    </row>
    <row r="449">
      <c r="C449" s="13"/>
      <c r="G449" s="13"/>
    </row>
    <row r="450">
      <c r="C450" s="13"/>
      <c r="G450" s="13"/>
    </row>
    <row r="451">
      <c r="C451" s="13"/>
      <c r="G451" s="13"/>
    </row>
    <row r="452">
      <c r="C452" s="13"/>
      <c r="G452" s="13"/>
    </row>
    <row r="453">
      <c r="C453" s="13"/>
      <c r="G453" s="13"/>
    </row>
    <row r="454">
      <c r="C454" s="13"/>
      <c r="G454" s="13"/>
    </row>
    <row r="455">
      <c r="C455" s="13"/>
      <c r="G455" s="13"/>
    </row>
    <row r="456">
      <c r="C456" s="13"/>
      <c r="G456" s="13"/>
    </row>
    <row r="457">
      <c r="C457" s="13"/>
      <c r="G457" s="13"/>
    </row>
    <row r="458">
      <c r="C458" s="13"/>
      <c r="G458" s="13"/>
    </row>
    <row r="459">
      <c r="C459" s="13"/>
      <c r="G459" s="13"/>
    </row>
    <row r="460">
      <c r="C460" s="13"/>
      <c r="G460" s="13"/>
    </row>
    <row r="461">
      <c r="C461" s="13"/>
      <c r="G461" s="13"/>
    </row>
    <row r="462">
      <c r="C462" s="13"/>
      <c r="G462" s="13"/>
    </row>
    <row r="463">
      <c r="C463" s="13"/>
      <c r="G463" s="13"/>
    </row>
    <row r="464">
      <c r="C464" s="13"/>
      <c r="G464" s="13"/>
    </row>
    <row r="465">
      <c r="C465" s="13"/>
      <c r="G465" s="13"/>
    </row>
    <row r="466">
      <c r="C466" s="13"/>
      <c r="G466" s="13"/>
    </row>
    <row r="467">
      <c r="C467" s="13"/>
      <c r="G467" s="13"/>
    </row>
    <row r="468">
      <c r="C468" s="13"/>
      <c r="G468" s="13"/>
    </row>
    <row r="469">
      <c r="C469" s="13"/>
      <c r="G469" s="13"/>
    </row>
    <row r="470">
      <c r="C470" s="13"/>
      <c r="G470" s="13"/>
    </row>
    <row r="471">
      <c r="C471" s="13"/>
      <c r="G471" s="13"/>
    </row>
    <row r="472">
      <c r="C472" s="13"/>
      <c r="G472" s="13"/>
    </row>
    <row r="473">
      <c r="C473" s="13"/>
      <c r="G473" s="13"/>
    </row>
    <row r="474">
      <c r="C474" s="13"/>
      <c r="G474" s="13"/>
    </row>
    <row r="475">
      <c r="C475" s="13"/>
      <c r="G475" s="13"/>
    </row>
    <row r="476">
      <c r="C476" s="13"/>
      <c r="G476" s="13"/>
    </row>
    <row r="477">
      <c r="C477" s="13"/>
      <c r="G477" s="13"/>
    </row>
    <row r="478">
      <c r="C478" s="13"/>
      <c r="G478" s="13"/>
    </row>
    <row r="479">
      <c r="C479" s="13"/>
      <c r="G479" s="13"/>
    </row>
    <row r="480">
      <c r="C480" s="13"/>
      <c r="G480" s="13"/>
    </row>
    <row r="481">
      <c r="C481" s="13"/>
      <c r="G481" s="13"/>
    </row>
    <row r="482">
      <c r="C482" s="13"/>
      <c r="G482" s="13"/>
    </row>
    <row r="483">
      <c r="C483" s="13"/>
      <c r="G483" s="13"/>
    </row>
    <row r="484">
      <c r="C484" s="13"/>
      <c r="G484" s="13"/>
    </row>
    <row r="485">
      <c r="C485" s="13"/>
      <c r="G485" s="13"/>
    </row>
    <row r="486">
      <c r="C486" s="13"/>
      <c r="G486" s="13"/>
    </row>
    <row r="487">
      <c r="C487" s="13"/>
      <c r="G487" s="13"/>
    </row>
    <row r="488">
      <c r="C488" s="13"/>
      <c r="G488" s="13"/>
    </row>
    <row r="489">
      <c r="C489" s="13"/>
      <c r="G489" s="13"/>
    </row>
    <row r="490">
      <c r="C490" s="13"/>
      <c r="G490" s="13"/>
    </row>
    <row r="491">
      <c r="C491" s="13"/>
      <c r="G491" s="13"/>
    </row>
    <row r="492">
      <c r="C492" s="13"/>
      <c r="G492" s="13"/>
    </row>
    <row r="493">
      <c r="C493" s="13"/>
      <c r="G493" s="13"/>
    </row>
    <row r="494">
      <c r="C494" s="13"/>
      <c r="G494" s="13"/>
    </row>
    <row r="495">
      <c r="C495" s="13"/>
      <c r="G495" s="13"/>
    </row>
    <row r="496">
      <c r="C496" s="13"/>
      <c r="G496" s="13"/>
    </row>
    <row r="497">
      <c r="C497" s="13"/>
      <c r="G497" s="13"/>
    </row>
    <row r="498">
      <c r="C498" s="13"/>
      <c r="G498" s="13"/>
    </row>
    <row r="499">
      <c r="C499" s="13"/>
      <c r="G499" s="13"/>
    </row>
    <row r="500">
      <c r="C500" s="13"/>
      <c r="G500" s="13"/>
    </row>
    <row r="501">
      <c r="C501" s="13"/>
      <c r="G501" s="13"/>
    </row>
    <row r="502">
      <c r="C502" s="13"/>
      <c r="G502" s="13"/>
    </row>
    <row r="503">
      <c r="C503" s="13"/>
      <c r="G503" s="13"/>
    </row>
    <row r="504">
      <c r="C504" s="13"/>
      <c r="G504" s="13"/>
    </row>
    <row r="505">
      <c r="C505" s="13"/>
      <c r="G505" s="13"/>
    </row>
    <row r="506">
      <c r="C506" s="13"/>
      <c r="G506" s="13"/>
    </row>
    <row r="507">
      <c r="C507" s="13"/>
      <c r="G507" s="13"/>
    </row>
    <row r="508">
      <c r="C508" s="13"/>
      <c r="G508" s="13"/>
    </row>
    <row r="509">
      <c r="C509" s="13"/>
      <c r="G509" s="13"/>
    </row>
    <row r="510">
      <c r="C510" s="13"/>
      <c r="G510" s="13"/>
    </row>
    <row r="511">
      <c r="C511" s="13"/>
      <c r="G511" s="13"/>
    </row>
    <row r="512">
      <c r="C512" s="13"/>
      <c r="G512" s="13"/>
    </row>
    <row r="513">
      <c r="C513" s="13"/>
      <c r="G513" s="13"/>
    </row>
    <row r="514">
      <c r="C514" s="13"/>
      <c r="G514" s="13"/>
    </row>
    <row r="515">
      <c r="C515" s="13"/>
      <c r="G515" s="13"/>
    </row>
    <row r="516">
      <c r="C516" s="13"/>
      <c r="G516" s="13"/>
    </row>
    <row r="517">
      <c r="C517" s="13"/>
      <c r="G517" s="13"/>
    </row>
    <row r="518">
      <c r="C518" s="13"/>
      <c r="G518" s="13"/>
    </row>
    <row r="519">
      <c r="C519" s="13"/>
      <c r="G519" s="13"/>
    </row>
    <row r="520">
      <c r="C520" s="13"/>
      <c r="G520" s="13"/>
    </row>
    <row r="521">
      <c r="C521" s="13"/>
      <c r="G521" s="13"/>
    </row>
    <row r="522">
      <c r="C522" s="13"/>
      <c r="G522" s="13"/>
    </row>
    <row r="523">
      <c r="C523" s="13"/>
      <c r="G523" s="13"/>
    </row>
    <row r="524">
      <c r="C524" s="13"/>
      <c r="G524" s="13"/>
    </row>
    <row r="525">
      <c r="C525" s="13"/>
      <c r="G525" s="13"/>
    </row>
    <row r="526">
      <c r="C526" s="13"/>
      <c r="G526" s="13"/>
    </row>
    <row r="527">
      <c r="C527" s="13"/>
      <c r="G527" s="13"/>
    </row>
    <row r="528">
      <c r="C528" s="13"/>
      <c r="G528" s="13"/>
    </row>
    <row r="529">
      <c r="C529" s="13"/>
      <c r="G529" s="13"/>
    </row>
    <row r="530">
      <c r="C530" s="13"/>
      <c r="G530" s="13"/>
    </row>
    <row r="531">
      <c r="C531" s="13"/>
      <c r="G531" s="13"/>
    </row>
    <row r="532">
      <c r="C532" s="13"/>
      <c r="G532" s="13"/>
    </row>
    <row r="533">
      <c r="C533" s="13"/>
      <c r="G533" s="13"/>
    </row>
    <row r="534">
      <c r="C534" s="13"/>
      <c r="G534" s="13"/>
    </row>
    <row r="535">
      <c r="C535" s="13"/>
      <c r="G535" s="13"/>
    </row>
    <row r="536">
      <c r="C536" s="13"/>
      <c r="G536" s="13"/>
    </row>
    <row r="537">
      <c r="C537" s="13"/>
      <c r="G537" s="13"/>
    </row>
    <row r="538">
      <c r="C538" s="13"/>
      <c r="G538" s="13"/>
    </row>
    <row r="539">
      <c r="C539" s="13"/>
      <c r="G539" s="13"/>
    </row>
    <row r="540">
      <c r="C540" s="13"/>
      <c r="G540" s="13"/>
    </row>
    <row r="541">
      <c r="C541" s="13"/>
      <c r="G541" s="13"/>
    </row>
    <row r="542">
      <c r="C542" s="13"/>
      <c r="G542" s="13"/>
    </row>
    <row r="543">
      <c r="C543" s="13"/>
      <c r="G543" s="13"/>
    </row>
    <row r="544">
      <c r="C544" s="13"/>
      <c r="G544" s="13"/>
    </row>
    <row r="545">
      <c r="C545" s="13"/>
      <c r="G545" s="13"/>
    </row>
    <row r="546">
      <c r="C546" s="13"/>
      <c r="G546" s="13"/>
    </row>
    <row r="547">
      <c r="C547" s="13"/>
      <c r="G547" s="13"/>
    </row>
    <row r="548">
      <c r="C548" s="13"/>
      <c r="G548" s="13"/>
    </row>
    <row r="549">
      <c r="C549" s="13"/>
      <c r="G549" s="13"/>
    </row>
    <row r="550">
      <c r="C550" s="13"/>
      <c r="G550" s="13"/>
    </row>
    <row r="551">
      <c r="C551" s="13"/>
      <c r="G551" s="13"/>
    </row>
    <row r="552">
      <c r="C552" s="13"/>
      <c r="G552" s="13"/>
    </row>
    <row r="553">
      <c r="C553" s="13"/>
      <c r="G553" s="13"/>
    </row>
    <row r="554">
      <c r="C554" s="13"/>
      <c r="G554" s="13"/>
    </row>
    <row r="555">
      <c r="C555" s="13"/>
      <c r="G555" s="13"/>
    </row>
    <row r="556">
      <c r="C556" s="13"/>
      <c r="G556" s="13"/>
    </row>
    <row r="557">
      <c r="C557" s="13"/>
      <c r="G557" s="13"/>
    </row>
    <row r="558">
      <c r="C558" s="13"/>
      <c r="G558" s="13"/>
    </row>
    <row r="559">
      <c r="C559" s="13"/>
      <c r="G559" s="13"/>
    </row>
    <row r="560">
      <c r="C560" s="13"/>
      <c r="G560" s="13"/>
    </row>
    <row r="561">
      <c r="C561" s="13"/>
      <c r="G561" s="13"/>
    </row>
    <row r="562">
      <c r="C562" s="13"/>
      <c r="G562" s="13"/>
    </row>
    <row r="563">
      <c r="C563" s="13"/>
      <c r="G563" s="13"/>
    </row>
    <row r="564">
      <c r="C564" s="13"/>
      <c r="G564" s="13"/>
    </row>
    <row r="565">
      <c r="C565" s="13"/>
      <c r="G565" s="13"/>
    </row>
    <row r="566">
      <c r="C566" s="13"/>
      <c r="G566" s="13"/>
    </row>
    <row r="567">
      <c r="C567" s="13"/>
      <c r="G567" s="13"/>
    </row>
    <row r="568">
      <c r="C568" s="13"/>
      <c r="G568" s="13"/>
    </row>
    <row r="569">
      <c r="C569" s="13"/>
      <c r="G569" s="13"/>
    </row>
    <row r="570">
      <c r="C570" s="13"/>
      <c r="G570" s="13"/>
    </row>
    <row r="571">
      <c r="C571" s="13"/>
      <c r="G571" s="13"/>
    </row>
    <row r="572">
      <c r="C572" s="13"/>
      <c r="G572" s="13"/>
    </row>
    <row r="573">
      <c r="C573" s="13"/>
      <c r="G573" s="13"/>
    </row>
    <row r="574">
      <c r="C574" s="13"/>
      <c r="G574" s="13"/>
    </row>
    <row r="575">
      <c r="C575" s="13"/>
      <c r="G575" s="13"/>
    </row>
    <row r="576">
      <c r="C576" s="13"/>
      <c r="G576" s="13"/>
    </row>
    <row r="577">
      <c r="C577" s="13"/>
      <c r="G577" s="13"/>
    </row>
    <row r="578">
      <c r="C578" s="13"/>
      <c r="G578" s="13"/>
    </row>
    <row r="579">
      <c r="C579" s="13"/>
      <c r="G579" s="13"/>
    </row>
    <row r="580">
      <c r="C580" s="13"/>
      <c r="G580" s="13"/>
    </row>
    <row r="581">
      <c r="C581" s="13"/>
      <c r="G581" s="13"/>
    </row>
    <row r="582">
      <c r="C582" s="13"/>
      <c r="G582" s="13"/>
    </row>
    <row r="583">
      <c r="C583" s="13"/>
      <c r="G583" s="13"/>
    </row>
    <row r="584">
      <c r="C584" s="13"/>
      <c r="G584" s="13"/>
    </row>
    <row r="585">
      <c r="C585" s="13"/>
      <c r="G585" s="13"/>
    </row>
    <row r="586">
      <c r="C586" s="13"/>
      <c r="G586" s="13"/>
    </row>
    <row r="587">
      <c r="C587" s="13"/>
      <c r="G587" s="13"/>
    </row>
    <row r="588">
      <c r="C588" s="13"/>
      <c r="G588" s="13"/>
    </row>
    <row r="589">
      <c r="C589" s="13"/>
      <c r="G589" s="13"/>
    </row>
    <row r="590">
      <c r="C590" s="13"/>
      <c r="G590" s="13"/>
    </row>
    <row r="591">
      <c r="C591" s="13"/>
      <c r="G591" s="13"/>
    </row>
    <row r="592">
      <c r="C592" s="13"/>
      <c r="G592" s="13"/>
    </row>
    <row r="593">
      <c r="C593" s="13"/>
      <c r="G593" s="13"/>
    </row>
    <row r="594">
      <c r="C594" s="13"/>
      <c r="G594" s="13"/>
    </row>
    <row r="595">
      <c r="C595" s="13"/>
      <c r="G595" s="13"/>
    </row>
    <row r="596">
      <c r="C596" s="13"/>
      <c r="G596" s="13"/>
    </row>
    <row r="597">
      <c r="C597" s="13"/>
      <c r="G597" s="13"/>
    </row>
    <row r="598">
      <c r="C598" s="13"/>
      <c r="G598" s="13"/>
    </row>
    <row r="599">
      <c r="C599" s="13"/>
      <c r="G599" s="13"/>
    </row>
    <row r="600">
      <c r="C600" s="13"/>
      <c r="G600" s="13"/>
    </row>
    <row r="601">
      <c r="C601" s="13"/>
      <c r="G601" s="13"/>
    </row>
    <row r="602">
      <c r="C602" s="13"/>
      <c r="G602" s="13"/>
    </row>
    <row r="603">
      <c r="C603" s="13"/>
      <c r="G603" s="13"/>
    </row>
    <row r="604">
      <c r="C604" s="13"/>
      <c r="G604" s="13"/>
    </row>
    <row r="605">
      <c r="C605" s="13"/>
      <c r="G605" s="13"/>
    </row>
    <row r="606">
      <c r="C606" s="13"/>
      <c r="G606" s="13"/>
    </row>
    <row r="607">
      <c r="C607" s="13"/>
      <c r="G607" s="13"/>
    </row>
    <row r="608">
      <c r="C608" s="13"/>
      <c r="G608" s="13"/>
    </row>
    <row r="609">
      <c r="C609" s="13"/>
      <c r="G609" s="13"/>
    </row>
    <row r="610">
      <c r="C610" s="13"/>
      <c r="G610" s="13"/>
    </row>
    <row r="611">
      <c r="C611" s="13"/>
      <c r="G611" s="13"/>
    </row>
    <row r="612">
      <c r="C612" s="13"/>
      <c r="G612" s="13"/>
    </row>
    <row r="613">
      <c r="C613" s="13"/>
      <c r="G613" s="13"/>
    </row>
    <row r="614">
      <c r="C614" s="13"/>
      <c r="G614" s="13"/>
    </row>
    <row r="615">
      <c r="C615" s="13"/>
      <c r="G615" s="13"/>
    </row>
    <row r="616">
      <c r="C616" s="13"/>
      <c r="G616" s="13"/>
    </row>
    <row r="617">
      <c r="C617" s="13"/>
      <c r="G617" s="13"/>
    </row>
    <row r="618">
      <c r="C618" s="13"/>
      <c r="G618" s="13"/>
    </row>
    <row r="619">
      <c r="C619" s="13"/>
      <c r="G619" s="13"/>
    </row>
    <row r="620">
      <c r="C620" s="13"/>
      <c r="G620" s="13"/>
    </row>
    <row r="621">
      <c r="C621" s="13"/>
      <c r="G621" s="13"/>
    </row>
    <row r="622">
      <c r="C622" s="13"/>
      <c r="G622" s="13"/>
    </row>
    <row r="623">
      <c r="C623" s="13"/>
      <c r="G623" s="13"/>
    </row>
    <row r="624">
      <c r="C624" s="13"/>
      <c r="G624" s="13"/>
    </row>
    <row r="625">
      <c r="C625" s="13"/>
      <c r="G625" s="13"/>
    </row>
    <row r="626">
      <c r="C626" s="13"/>
      <c r="G626" s="13"/>
    </row>
    <row r="627">
      <c r="C627" s="13"/>
      <c r="G627" s="13"/>
    </row>
    <row r="628">
      <c r="C628" s="13"/>
      <c r="G628" s="13"/>
    </row>
    <row r="629">
      <c r="C629" s="13"/>
      <c r="G629" s="13"/>
    </row>
    <row r="630">
      <c r="C630" s="13"/>
      <c r="G630" s="13"/>
    </row>
    <row r="631">
      <c r="C631" s="13"/>
      <c r="G631" s="13"/>
    </row>
    <row r="632">
      <c r="C632" s="13"/>
      <c r="G632" s="13"/>
    </row>
    <row r="633">
      <c r="C633" s="13"/>
      <c r="G633" s="13"/>
    </row>
    <row r="634">
      <c r="C634" s="13"/>
      <c r="G634" s="13"/>
    </row>
    <row r="635">
      <c r="C635" s="13"/>
      <c r="G635" s="13"/>
    </row>
    <row r="636">
      <c r="C636" s="13"/>
      <c r="G636" s="13"/>
    </row>
    <row r="637">
      <c r="C637" s="13"/>
      <c r="G637" s="13"/>
    </row>
    <row r="638">
      <c r="C638" s="13"/>
      <c r="G638" s="13"/>
    </row>
    <row r="639">
      <c r="C639" s="13"/>
      <c r="G639" s="13"/>
    </row>
    <row r="640">
      <c r="C640" s="13"/>
      <c r="G640" s="13"/>
    </row>
    <row r="641">
      <c r="C641" s="13"/>
      <c r="G641" s="13"/>
    </row>
    <row r="642">
      <c r="C642" s="13"/>
      <c r="G642" s="13"/>
    </row>
    <row r="643">
      <c r="C643" s="13"/>
      <c r="G643" s="13"/>
    </row>
    <row r="644">
      <c r="C644" s="13"/>
      <c r="G644" s="13"/>
    </row>
    <row r="645">
      <c r="C645" s="13"/>
      <c r="G645" s="13"/>
    </row>
    <row r="646">
      <c r="C646" s="13"/>
      <c r="G646" s="13"/>
    </row>
    <row r="647">
      <c r="C647" s="13"/>
      <c r="G647" s="13"/>
    </row>
    <row r="648">
      <c r="C648" s="13"/>
      <c r="G648" s="13"/>
    </row>
    <row r="649">
      <c r="C649" s="13"/>
      <c r="G649" s="13"/>
    </row>
    <row r="650">
      <c r="C650" s="13"/>
      <c r="G650" s="13"/>
    </row>
    <row r="651">
      <c r="C651" s="13"/>
      <c r="G651" s="13"/>
    </row>
    <row r="652">
      <c r="C652" s="13"/>
      <c r="G652" s="13"/>
    </row>
    <row r="653">
      <c r="C653" s="13"/>
      <c r="G653" s="13"/>
    </row>
    <row r="654">
      <c r="C654" s="13"/>
      <c r="G654" s="13"/>
    </row>
    <row r="655">
      <c r="C655" s="13"/>
      <c r="G655" s="13"/>
    </row>
    <row r="656">
      <c r="C656" s="13"/>
      <c r="G656" s="13"/>
    </row>
    <row r="657">
      <c r="C657" s="13"/>
      <c r="G657" s="13"/>
    </row>
    <row r="658">
      <c r="C658" s="13"/>
      <c r="G658" s="13"/>
    </row>
    <row r="659">
      <c r="C659" s="13"/>
      <c r="G659" s="13"/>
    </row>
    <row r="660">
      <c r="C660" s="13"/>
      <c r="G660" s="13"/>
    </row>
    <row r="661">
      <c r="C661" s="13"/>
      <c r="G661" s="13"/>
    </row>
    <row r="662">
      <c r="C662" s="13"/>
      <c r="G662" s="13"/>
    </row>
    <row r="663">
      <c r="C663" s="13"/>
      <c r="G663" s="13"/>
    </row>
    <row r="664">
      <c r="C664" s="13"/>
      <c r="G664" s="13"/>
    </row>
    <row r="665">
      <c r="C665" s="13"/>
      <c r="G665" s="13"/>
    </row>
    <row r="666">
      <c r="C666" s="13"/>
      <c r="G666" s="13"/>
    </row>
    <row r="667">
      <c r="C667" s="13"/>
      <c r="G667" s="13"/>
    </row>
    <row r="668">
      <c r="C668" s="13"/>
      <c r="G668" s="13"/>
    </row>
    <row r="669">
      <c r="C669" s="13"/>
      <c r="G669" s="13"/>
    </row>
    <row r="670">
      <c r="C670" s="13"/>
      <c r="G670" s="13"/>
    </row>
    <row r="671">
      <c r="C671" s="13"/>
      <c r="G671" s="13"/>
    </row>
    <row r="672">
      <c r="C672" s="13"/>
      <c r="G672" s="13"/>
    </row>
    <row r="673">
      <c r="C673" s="13"/>
      <c r="G673" s="13"/>
    </row>
    <row r="674">
      <c r="C674" s="13"/>
      <c r="G674" s="13"/>
    </row>
    <row r="675">
      <c r="C675" s="13"/>
      <c r="G675" s="13"/>
    </row>
    <row r="676">
      <c r="C676" s="13"/>
      <c r="G676" s="13"/>
    </row>
    <row r="677">
      <c r="C677" s="13"/>
      <c r="G677" s="13"/>
    </row>
    <row r="678">
      <c r="C678" s="13"/>
      <c r="G678" s="13"/>
    </row>
    <row r="679">
      <c r="C679" s="13"/>
      <c r="G679" s="13"/>
    </row>
    <row r="680">
      <c r="C680" s="13"/>
      <c r="G680" s="13"/>
    </row>
    <row r="681">
      <c r="C681" s="13"/>
      <c r="G681" s="13"/>
    </row>
    <row r="682">
      <c r="C682" s="13"/>
      <c r="G682" s="13"/>
    </row>
    <row r="683">
      <c r="C683" s="13"/>
      <c r="G683" s="13"/>
    </row>
    <row r="684">
      <c r="C684" s="13"/>
      <c r="G684" s="13"/>
    </row>
    <row r="685">
      <c r="C685" s="13"/>
      <c r="G685" s="13"/>
    </row>
    <row r="686">
      <c r="C686" s="13"/>
      <c r="G686" s="13"/>
    </row>
    <row r="687">
      <c r="C687" s="13"/>
      <c r="G687" s="13"/>
    </row>
    <row r="688">
      <c r="C688" s="13"/>
      <c r="G688" s="13"/>
    </row>
    <row r="689">
      <c r="C689" s="13"/>
      <c r="G689" s="13"/>
    </row>
    <row r="690">
      <c r="C690" s="13"/>
      <c r="G690" s="13"/>
    </row>
    <row r="691">
      <c r="C691" s="13"/>
      <c r="G691" s="13"/>
    </row>
    <row r="692">
      <c r="C692" s="13"/>
      <c r="G692" s="13"/>
    </row>
    <row r="693">
      <c r="C693" s="13"/>
      <c r="G693" s="13"/>
    </row>
    <row r="694">
      <c r="C694" s="13"/>
      <c r="G694" s="13"/>
    </row>
    <row r="695">
      <c r="C695" s="13"/>
      <c r="G695" s="13"/>
    </row>
    <row r="696">
      <c r="C696" s="13"/>
      <c r="G696" s="13"/>
    </row>
    <row r="697">
      <c r="C697" s="13"/>
      <c r="G697" s="13"/>
    </row>
    <row r="698">
      <c r="C698" s="13"/>
      <c r="G698" s="13"/>
    </row>
    <row r="699">
      <c r="C699" s="13"/>
      <c r="G699" s="13"/>
    </row>
    <row r="700">
      <c r="C700" s="13"/>
      <c r="G700" s="13"/>
    </row>
    <row r="701">
      <c r="C701" s="13"/>
      <c r="G701" s="13"/>
    </row>
    <row r="702">
      <c r="C702" s="13"/>
      <c r="G702" s="13"/>
    </row>
    <row r="703">
      <c r="C703" s="13"/>
      <c r="G703" s="13"/>
    </row>
    <row r="704">
      <c r="C704" s="13"/>
      <c r="G704" s="13"/>
    </row>
    <row r="705">
      <c r="C705" s="13"/>
      <c r="G705" s="13"/>
    </row>
    <row r="706">
      <c r="C706" s="13"/>
      <c r="G706" s="13"/>
    </row>
    <row r="707">
      <c r="C707" s="13"/>
      <c r="G707" s="13"/>
    </row>
    <row r="708">
      <c r="C708" s="13"/>
      <c r="G708" s="13"/>
    </row>
    <row r="709">
      <c r="C709" s="13"/>
      <c r="G709" s="13"/>
    </row>
    <row r="710">
      <c r="C710" s="13"/>
      <c r="G710" s="13"/>
    </row>
    <row r="711">
      <c r="C711" s="13"/>
      <c r="G711" s="13"/>
    </row>
    <row r="712">
      <c r="C712" s="13"/>
      <c r="G712" s="13"/>
    </row>
    <row r="713">
      <c r="C713" s="13"/>
      <c r="G713" s="13"/>
    </row>
    <row r="714">
      <c r="C714" s="13"/>
      <c r="G714" s="13"/>
    </row>
    <row r="715">
      <c r="C715" s="13"/>
      <c r="G715" s="13"/>
    </row>
    <row r="716">
      <c r="C716" s="13"/>
      <c r="G716" s="13"/>
    </row>
    <row r="717">
      <c r="C717" s="13"/>
      <c r="G717" s="13"/>
    </row>
    <row r="718">
      <c r="C718" s="13"/>
      <c r="G718" s="13"/>
    </row>
    <row r="719">
      <c r="C719" s="13"/>
      <c r="G719" s="13"/>
    </row>
    <row r="720">
      <c r="C720" s="13"/>
      <c r="G720" s="13"/>
    </row>
    <row r="721">
      <c r="C721" s="13"/>
      <c r="G721" s="13"/>
    </row>
    <row r="722">
      <c r="C722" s="13"/>
      <c r="G722" s="13"/>
    </row>
    <row r="723">
      <c r="C723" s="13"/>
      <c r="G723" s="13"/>
    </row>
    <row r="724">
      <c r="C724" s="13"/>
      <c r="G724" s="13"/>
    </row>
    <row r="725">
      <c r="C725" s="13"/>
      <c r="G725" s="13"/>
    </row>
    <row r="726">
      <c r="C726" s="13"/>
      <c r="G726" s="13"/>
    </row>
    <row r="727">
      <c r="C727" s="13"/>
      <c r="G727" s="13"/>
    </row>
    <row r="728">
      <c r="C728" s="13"/>
      <c r="G728" s="13"/>
    </row>
    <row r="729">
      <c r="C729" s="13"/>
      <c r="G729" s="13"/>
    </row>
    <row r="730">
      <c r="C730" s="13"/>
      <c r="G730" s="13"/>
    </row>
    <row r="731">
      <c r="C731" s="13"/>
      <c r="G731" s="13"/>
    </row>
    <row r="732">
      <c r="C732" s="13"/>
      <c r="G732" s="13"/>
    </row>
    <row r="733">
      <c r="C733" s="13"/>
      <c r="G733" s="13"/>
    </row>
    <row r="734">
      <c r="C734" s="13"/>
      <c r="G734" s="13"/>
    </row>
    <row r="735">
      <c r="C735" s="13"/>
      <c r="G735" s="13"/>
    </row>
    <row r="736">
      <c r="C736" s="13"/>
      <c r="G736" s="13"/>
    </row>
    <row r="737">
      <c r="C737" s="13"/>
      <c r="G737" s="13"/>
    </row>
    <row r="738">
      <c r="C738" s="13"/>
      <c r="G738" s="13"/>
    </row>
    <row r="739">
      <c r="C739" s="13"/>
      <c r="G739" s="13"/>
    </row>
    <row r="740">
      <c r="C740" s="13"/>
      <c r="G740" s="13"/>
    </row>
    <row r="741">
      <c r="C741" s="13"/>
      <c r="G741" s="13"/>
    </row>
    <row r="742">
      <c r="C742" s="13"/>
      <c r="G742" s="13"/>
    </row>
    <row r="743">
      <c r="C743" s="13"/>
      <c r="G743" s="13"/>
    </row>
    <row r="744">
      <c r="C744" s="13"/>
      <c r="G744" s="13"/>
    </row>
    <row r="745">
      <c r="C745" s="13"/>
      <c r="G745" s="13"/>
    </row>
    <row r="746">
      <c r="C746" s="13"/>
      <c r="G746" s="13"/>
    </row>
    <row r="747">
      <c r="C747" s="13"/>
      <c r="G747" s="13"/>
    </row>
    <row r="748">
      <c r="C748" s="13"/>
      <c r="G748" s="13"/>
    </row>
    <row r="749">
      <c r="C749" s="13"/>
      <c r="G749" s="13"/>
    </row>
    <row r="750">
      <c r="C750" s="13"/>
      <c r="G750" s="13"/>
    </row>
    <row r="751">
      <c r="C751" s="13"/>
      <c r="G751" s="13"/>
    </row>
    <row r="752">
      <c r="C752" s="13"/>
      <c r="G752" s="13"/>
    </row>
    <row r="753">
      <c r="C753" s="13"/>
      <c r="G753" s="13"/>
    </row>
    <row r="754">
      <c r="C754" s="13"/>
      <c r="G754" s="13"/>
    </row>
    <row r="755">
      <c r="C755" s="13"/>
      <c r="G755" s="13"/>
    </row>
    <row r="756">
      <c r="C756" s="13"/>
      <c r="G756" s="13"/>
    </row>
    <row r="757">
      <c r="C757" s="13"/>
      <c r="G757" s="13"/>
    </row>
    <row r="758">
      <c r="C758" s="13"/>
      <c r="G758" s="13"/>
    </row>
    <row r="759">
      <c r="C759" s="13"/>
      <c r="G759" s="13"/>
    </row>
    <row r="760">
      <c r="C760" s="13"/>
      <c r="G760" s="13"/>
    </row>
    <row r="761">
      <c r="C761" s="13"/>
      <c r="G761" s="13"/>
    </row>
    <row r="762">
      <c r="C762" s="13"/>
      <c r="G762" s="13"/>
    </row>
    <row r="763">
      <c r="C763" s="13"/>
      <c r="G763" s="13"/>
    </row>
    <row r="764">
      <c r="C764" s="13"/>
      <c r="G764" s="13"/>
    </row>
    <row r="765">
      <c r="C765" s="13"/>
      <c r="G765" s="13"/>
    </row>
    <row r="766">
      <c r="C766" s="13"/>
      <c r="G766" s="13"/>
    </row>
    <row r="767">
      <c r="C767" s="13"/>
      <c r="G767" s="13"/>
    </row>
    <row r="768">
      <c r="C768" s="13"/>
      <c r="G768" s="13"/>
    </row>
    <row r="769">
      <c r="C769" s="13"/>
      <c r="G769" s="13"/>
    </row>
    <row r="770">
      <c r="C770" s="13"/>
      <c r="G770" s="13"/>
    </row>
    <row r="771">
      <c r="C771" s="13"/>
      <c r="G771" s="13"/>
    </row>
    <row r="772">
      <c r="C772" s="13"/>
      <c r="G772" s="13"/>
    </row>
    <row r="773">
      <c r="C773" s="13"/>
      <c r="G773" s="13"/>
    </row>
    <row r="774">
      <c r="C774" s="13"/>
      <c r="G774" s="13"/>
    </row>
    <row r="775">
      <c r="C775" s="13"/>
      <c r="G775" s="13"/>
    </row>
    <row r="776">
      <c r="C776" s="13"/>
      <c r="G776" s="13"/>
    </row>
    <row r="777">
      <c r="C777" s="13"/>
      <c r="G777" s="13"/>
    </row>
    <row r="778">
      <c r="C778" s="13"/>
      <c r="G778" s="13"/>
    </row>
    <row r="779">
      <c r="C779" s="13"/>
      <c r="G779" s="13"/>
    </row>
    <row r="780">
      <c r="C780" s="13"/>
      <c r="G780" s="13"/>
    </row>
    <row r="781">
      <c r="C781" s="13"/>
      <c r="G781" s="13"/>
    </row>
    <row r="782">
      <c r="C782" s="13"/>
      <c r="G782" s="13"/>
    </row>
    <row r="783">
      <c r="C783" s="13"/>
      <c r="G783" s="13"/>
    </row>
    <row r="784">
      <c r="C784" s="13"/>
      <c r="G784" s="13"/>
    </row>
    <row r="785">
      <c r="C785" s="13"/>
      <c r="G785" s="13"/>
    </row>
    <row r="786">
      <c r="C786" s="13"/>
      <c r="G786" s="13"/>
    </row>
    <row r="787">
      <c r="C787" s="13"/>
      <c r="G787" s="13"/>
    </row>
    <row r="788">
      <c r="C788" s="13"/>
      <c r="G788" s="13"/>
    </row>
    <row r="789">
      <c r="C789" s="13"/>
      <c r="G789" s="13"/>
    </row>
    <row r="790">
      <c r="C790" s="13"/>
      <c r="G790" s="13"/>
    </row>
    <row r="791">
      <c r="C791" s="13"/>
      <c r="G791" s="13"/>
    </row>
    <row r="792">
      <c r="C792" s="13"/>
      <c r="G792" s="13"/>
    </row>
    <row r="793">
      <c r="C793" s="13"/>
      <c r="G793" s="13"/>
    </row>
    <row r="794">
      <c r="C794" s="13"/>
      <c r="G794" s="13"/>
    </row>
    <row r="795">
      <c r="C795" s="13"/>
      <c r="G795" s="13"/>
    </row>
    <row r="796">
      <c r="C796" s="13"/>
      <c r="G796" s="13"/>
    </row>
    <row r="797">
      <c r="C797" s="13"/>
      <c r="G797" s="13"/>
    </row>
    <row r="798">
      <c r="C798" s="13"/>
      <c r="G798" s="13"/>
    </row>
    <row r="799">
      <c r="C799" s="13"/>
      <c r="G799" s="13"/>
    </row>
    <row r="800">
      <c r="C800" s="13"/>
      <c r="G800" s="13"/>
    </row>
    <row r="801">
      <c r="C801" s="13"/>
      <c r="G801" s="13"/>
    </row>
    <row r="802">
      <c r="C802" s="13"/>
      <c r="G802" s="13"/>
    </row>
    <row r="803">
      <c r="C803" s="13"/>
      <c r="G803" s="13"/>
    </row>
    <row r="804">
      <c r="C804" s="13"/>
      <c r="G804" s="13"/>
    </row>
    <row r="805">
      <c r="C805" s="13"/>
      <c r="G805" s="13"/>
    </row>
    <row r="806">
      <c r="C806" s="13"/>
      <c r="G806" s="13"/>
    </row>
    <row r="807">
      <c r="C807" s="13"/>
      <c r="G807" s="13"/>
    </row>
    <row r="808">
      <c r="C808" s="13"/>
      <c r="G808" s="13"/>
    </row>
    <row r="809">
      <c r="C809" s="13"/>
      <c r="G809" s="13"/>
    </row>
    <row r="810">
      <c r="C810" s="13"/>
      <c r="G810" s="13"/>
    </row>
    <row r="811">
      <c r="C811" s="13"/>
      <c r="G811" s="13"/>
    </row>
    <row r="812">
      <c r="C812" s="13"/>
      <c r="G812" s="13"/>
    </row>
    <row r="813">
      <c r="C813" s="13"/>
      <c r="G813" s="13"/>
    </row>
    <row r="814">
      <c r="C814" s="13"/>
      <c r="G814" s="13"/>
    </row>
    <row r="815">
      <c r="C815" s="13"/>
      <c r="G815" s="13"/>
    </row>
    <row r="816">
      <c r="C816" s="13"/>
      <c r="G816" s="13"/>
    </row>
    <row r="817">
      <c r="C817" s="13"/>
      <c r="G817" s="13"/>
    </row>
    <row r="818">
      <c r="C818" s="13"/>
      <c r="G818" s="13"/>
    </row>
    <row r="819">
      <c r="C819" s="13"/>
      <c r="G819" s="13"/>
    </row>
    <row r="820">
      <c r="C820" s="13"/>
      <c r="G820" s="13"/>
    </row>
    <row r="821">
      <c r="C821" s="13"/>
      <c r="G821" s="13"/>
    </row>
    <row r="822">
      <c r="C822" s="13"/>
      <c r="G822" s="13"/>
    </row>
    <row r="823">
      <c r="C823" s="13"/>
      <c r="G823" s="13"/>
    </row>
    <row r="824">
      <c r="C824" s="13"/>
      <c r="G824" s="13"/>
    </row>
    <row r="825">
      <c r="C825" s="13"/>
      <c r="G825" s="13"/>
    </row>
    <row r="826">
      <c r="C826" s="13"/>
      <c r="G826" s="13"/>
    </row>
    <row r="827">
      <c r="C827" s="13"/>
      <c r="G827" s="13"/>
    </row>
    <row r="828">
      <c r="C828" s="13"/>
      <c r="G828" s="13"/>
    </row>
    <row r="829">
      <c r="C829" s="13"/>
      <c r="G829" s="13"/>
    </row>
    <row r="830">
      <c r="C830" s="13"/>
      <c r="G830" s="13"/>
    </row>
    <row r="831">
      <c r="C831" s="13"/>
      <c r="G831" s="13"/>
    </row>
    <row r="832">
      <c r="C832" s="13"/>
      <c r="G832" s="13"/>
    </row>
    <row r="833">
      <c r="C833" s="13"/>
      <c r="G833" s="13"/>
    </row>
    <row r="834">
      <c r="C834" s="13"/>
      <c r="G834" s="13"/>
    </row>
    <row r="835">
      <c r="C835" s="13"/>
      <c r="G835" s="13"/>
    </row>
    <row r="836">
      <c r="C836" s="13"/>
      <c r="G836" s="13"/>
    </row>
    <row r="837">
      <c r="C837" s="13"/>
      <c r="G837" s="13"/>
    </row>
    <row r="838">
      <c r="C838" s="13"/>
      <c r="G838" s="13"/>
    </row>
    <row r="839">
      <c r="C839" s="13"/>
      <c r="G839" s="13"/>
    </row>
    <row r="840">
      <c r="C840" s="13"/>
      <c r="G840" s="13"/>
    </row>
    <row r="841">
      <c r="C841" s="13"/>
      <c r="G841" s="13"/>
    </row>
    <row r="842">
      <c r="C842" s="13"/>
      <c r="G842" s="13"/>
    </row>
    <row r="843">
      <c r="C843" s="13"/>
      <c r="G843" s="13"/>
    </row>
    <row r="844">
      <c r="C844" s="13"/>
      <c r="G844" s="13"/>
    </row>
    <row r="845">
      <c r="C845" s="13"/>
      <c r="G845" s="13"/>
    </row>
    <row r="846">
      <c r="C846" s="13"/>
      <c r="G846" s="13"/>
    </row>
    <row r="847">
      <c r="C847" s="13"/>
      <c r="G847" s="13"/>
    </row>
    <row r="848">
      <c r="C848" s="13"/>
      <c r="G848" s="13"/>
    </row>
    <row r="849">
      <c r="C849" s="13"/>
      <c r="G849" s="13"/>
    </row>
    <row r="850">
      <c r="C850" s="13"/>
      <c r="G850" s="13"/>
    </row>
    <row r="851">
      <c r="C851" s="13"/>
      <c r="G851" s="13"/>
    </row>
    <row r="852">
      <c r="C852" s="13"/>
      <c r="G852" s="13"/>
    </row>
    <row r="853">
      <c r="C853" s="13"/>
      <c r="G853" s="13"/>
    </row>
    <row r="854">
      <c r="C854" s="13"/>
      <c r="G854" s="13"/>
    </row>
    <row r="855">
      <c r="C855" s="13"/>
      <c r="G855" s="13"/>
    </row>
    <row r="856">
      <c r="C856" s="13"/>
      <c r="G856" s="13"/>
    </row>
    <row r="857">
      <c r="C857" s="13"/>
      <c r="G857" s="13"/>
    </row>
    <row r="858">
      <c r="C858" s="13"/>
      <c r="G858" s="13"/>
    </row>
    <row r="859">
      <c r="C859" s="13"/>
      <c r="G859" s="13"/>
    </row>
    <row r="860">
      <c r="C860" s="13"/>
      <c r="G860" s="13"/>
    </row>
    <row r="861">
      <c r="C861" s="13"/>
      <c r="G861" s="13"/>
    </row>
    <row r="862">
      <c r="C862" s="13"/>
      <c r="G862" s="13"/>
    </row>
    <row r="863">
      <c r="C863" s="13"/>
      <c r="G863" s="13"/>
    </row>
    <row r="864">
      <c r="C864" s="13"/>
      <c r="G864" s="13"/>
    </row>
    <row r="865">
      <c r="C865" s="13"/>
      <c r="G865" s="13"/>
    </row>
    <row r="866">
      <c r="C866" s="13"/>
      <c r="G866" s="13"/>
    </row>
    <row r="867">
      <c r="C867" s="13"/>
      <c r="G867" s="13"/>
    </row>
    <row r="868">
      <c r="C868" s="13"/>
      <c r="G868" s="13"/>
    </row>
    <row r="869">
      <c r="C869" s="13"/>
      <c r="G869" s="13"/>
    </row>
    <row r="870">
      <c r="C870" s="13"/>
      <c r="G870" s="13"/>
    </row>
    <row r="871">
      <c r="C871" s="13"/>
      <c r="G871" s="13"/>
    </row>
    <row r="872">
      <c r="C872" s="13"/>
      <c r="G872" s="13"/>
    </row>
    <row r="873">
      <c r="C873" s="13"/>
      <c r="G873" s="13"/>
    </row>
    <row r="874">
      <c r="C874" s="13"/>
      <c r="G874" s="13"/>
    </row>
    <row r="875">
      <c r="C875" s="13"/>
      <c r="G875" s="13"/>
    </row>
    <row r="876">
      <c r="C876" s="13"/>
      <c r="G876" s="13"/>
    </row>
    <row r="877">
      <c r="C877" s="13"/>
      <c r="G877" s="13"/>
    </row>
    <row r="878">
      <c r="C878" s="13"/>
      <c r="G878" s="13"/>
    </row>
    <row r="879">
      <c r="C879" s="13"/>
      <c r="G879" s="13"/>
    </row>
    <row r="880">
      <c r="C880" s="13"/>
      <c r="G880" s="13"/>
    </row>
    <row r="881">
      <c r="C881" s="13"/>
      <c r="G881" s="13"/>
    </row>
    <row r="882">
      <c r="C882" s="13"/>
      <c r="G882" s="13"/>
    </row>
    <row r="883">
      <c r="C883" s="13"/>
      <c r="G883" s="13"/>
    </row>
    <row r="884">
      <c r="C884" s="13"/>
      <c r="G884" s="13"/>
    </row>
    <row r="885">
      <c r="C885" s="13"/>
      <c r="G885" s="13"/>
    </row>
    <row r="886">
      <c r="C886" s="13"/>
      <c r="G886" s="13"/>
    </row>
    <row r="887">
      <c r="C887" s="13"/>
      <c r="G887" s="13"/>
    </row>
    <row r="888">
      <c r="C888" s="13"/>
      <c r="G888" s="13"/>
    </row>
    <row r="889">
      <c r="C889" s="13"/>
      <c r="G889" s="13"/>
    </row>
    <row r="890">
      <c r="C890" s="13"/>
      <c r="G890" s="13"/>
    </row>
    <row r="891">
      <c r="C891" s="13"/>
      <c r="G891" s="13"/>
    </row>
    <row r="892">
      <c r="C892" s="13"/>
      <c r="G892" s="13"/>
    </row>
    <row r="893">
      <c r="C893" s="13"/>
      <c r="G893" s="13"/>
    </row>
    <row r="894">
      <c r="C894" s="13"/>
      <c r="G894" s="13"/>
    </row>
    <row r="895">
      <c r="C895" s="13"/>
      <c r="G895" s="13"/>
    </row>
    <row r="896">
      <c r="C896" s="13"/>
      <c r="G896" s="13"/>
    </row>
    <row r="897">
      <c r="C897" s="13"/>
      <c r="G897" s="13"/>
    </row>
    <row r="898">
      <c r="C898" s="13"/>
      <c r="G898" s="13"/>
    </row>
    <row r="899">
      <c r="C899" s="13"/>
      <c r="G899" s="13"/>
    </row>
    <row r="900">
      <c r="C900" s="13"/>
      <c r="G900" s="13"/>
    </row>
    <row r="901">
      <c r="C901" s="13"/>
      <c r="G901" s="13"/>
    </row>
    <row r="902">
      <c r="C902" s="13"/>
      <c r="G902" s="13"/>
    </row>
    <row r="903">
      <c r="C903" s="13"/>
      <c r="G903" s="13"/>
    </row>
    <row r="904">
      <c r="C904" s="13"/>
      <c r="G904" s="13"/>
    </row>
    <row r="905">
      <c r="C905" s="13"/>
      <c r="G905" s="13"/>
    </row>
    <row r="906">
      <c r="C906" s="13"/>
      <c r="G906" s="13"/>
    </row>
    <row r="907">
      <c r="C907" s="13"/>
      <c r="G907" s="13"/>
    </row>
    <row r="908">
      <c r="C908" s="13"/>
      <c r="G908" s="13"/>
    </row>
    <row r="909">
      <c r="C909" s="13"/>
      <c r="G909" s="13"/>
    </row>
    <row r="910">
      <c r="C910" s="13"/>
      <c r="G910" s="13"/>
    </row>
    <row r="911">
      <c r="C911" s="13"/>
      <c r="G911" s="13"/>
    </row>
    <row r="912">
      <c r="C912" s="13"/>
      <c r="G912" s="13"/>
    </row>
    <row r="913">
      <c r="C913" s="13"/>
      <c r="G913" s="13"/>
    </row>
    <row r="914">
      <c r="C914" s="13"/>
      <c r="G914" s="13"/>
    </row>
    <row r="915">
      <c r="C915" s="13"/>
      <c r="G915" s="13"/>
    </row>
    <row r="916">
      <c r="C916" s="13"/>
      <c r="G916" s="13"/>
    </row>
    <row r="917">
      <c r="C917" s="13"/>
      <c r="G917" s="13"/>
    </row>
    <row r="918">
      <c r="C918" s="13"/>
      <c r="G918" s="13"/>
    </row>
    <row r="919">
      <c r="C919" s="13"/>
      <c r="G919" s="13"/>
    </row>
    <row r="920">
      <c r="C920" s="13"/>
      <c r="G920" s="13"/>
    </row>
    <row r="921">
      <c r="C921" s="13"/>
      <c r="G921" s="13"/>
    </row>
    <row r="922">
      <c r="C922" s="13"/>
      <c r="G922" s="13"/>
    </row>
    <row r="923">
      <c r="C923" s="13"/>
      <c r="G923" s="13"/>
    </row>
    <row r="924">
      <c r="C924" s="13"/>
      <c r="G924" s="13"/>
    </row>
    <row r="925">
      <c r="C925" s="13"/>
      <c r="G925" s="13"/>
    </row>
    <row r="926">
      <c r="C926" s="13"/>
      <c r="G926" s="13"/>
    </row>
    <row r="927">
      <c r="C927" s="13"/>
      <c r="G927" s="13"/>
    </row>
    <row r="928">
      <c r="C928" s="13"/>
      <c r="G928" s="13"/>
    </row>
    <row r="929">
      <c r="C929" s="13"/>
      <c r="G929" s="13"/>
    </row>
    <row r="930">
      <c r="C930" s="13"/>
      <c r="G930" s="13"/>
    </row>
    <row r="931">
      <c r="C931" s="13"/>
      <c r="G931" s="13"/>
    </row>
    <row r="932">
      <c r="C932" s="13"/>
      <c r="G932" s="13"/>
    </row>
    <row r="933">
      <c r="C933" s="13"/>
      <c r="G933" s="13"/>
    </row>
    <row r="934">
      <c r="C934" s="13"/>
      <c r="G934" s="13"/>
    </row>
    <row r="935">
      <c r="C935" s="13"/>
      <c r="G935" s="13"/>
    </row>
    <row r="936">
      <c r="C936" s="13"/>
      <c r="G936" s="13"/>
    </row>
    <row r="937">
      <c r="C937" s="13"/>
      <c r="G937" s="13"/>
    </row>
    <row r="938">
      <c r="C938" s="13"/>
      <c r="G938" s="13"/>
    </row>
    <row r="939">
      <c r="C939" s="13"/>
      <c r="G939" s="13"/>
    </row>
    <row r="940">
      <c r="C940" s="13"/>
      <c r="G940" s="13"/>
    </row>
    <row r="941">
      <c r="C941" s="13"/>
      <c r="G941" s="13"/>
    </row>
    <row r="942">
      <c r="C942" s="13"/>
      <c r="G942" s="13"/>
    </row>
    <row r="943">
      <c r="C943" s="13"/>
      <c r="G943" s="13"/>
    </row>
    <row r="944">
      <c r="C944" s="13"/>
      <c r="G944" s="13"/>
    </row>
    <row r="945">
      <c r="C945" s="13"/>
      <c r="G945" s="13"/>
    </row>
    <row r="946">
      <c r="C946" s="13"/>
      <c r="G946" s="13"/>
    </row>
    <row r="947">
      <c r="C947" s="13"/>
      <c r="G947" s="13"/>
    </row>
    <row r="948">
      <c r="C948" s="13"/>
      <c r="G948" s="13"/>
    </row>
    <row r="949">
      <c r="C949" s="13"/>
      <c r="G949" s="13"/>
    </row>
    <row r="950">
      <c r="C950" s="13"/>
      <c r="G950" s="13"/>
    </row>
    <row r="951">
      <c r="C951" s="13"/>
      <c r="G951" s="13"/>
    </row>
    <row r="952">
      <c r="C952" s="13"/>
      <c r="G952" s="13"/>
    </row>
    <row r="953">
      <c r="C953" s="13"/>
      <c r="G953" s="13"/>
    </row>
    <row r="954">
      <c r="C954" s="13"/>
      <c r="G954" s="13"/>
    </row>
    <row r="955">
      <c r="C955" s="13"/>
      <c r="G955" s="13"/>
    </row>
    <row r="956">
      <c r="C956" s="13"/>
      <c r="G956" s="13"/>
    </row>
    <row r="957">
      <c r="C957" s="13"/>
      <c r="G957" s="13"/>
    </row>
    <row r="958">
      <c r="C958" s="13"/>
      <c r="G958" s="13"/>
    </row>
    <row r="959">
      <c r="C959" s="13"/>
      <c r="G959" s="13"/>
    </row>
    <row r="960">
      <c r="C960" s="13"/>
      <c r="G960" s="13"/>
    </row>
    <row r="961">
      <c r="C961" s="13"/>
      <c r="G961" s="13"/>
    </row>
    <row r="962">
      <c r="C962" s="13"/>
      <c r="G962" s="13"/>
    </row>
    <row r="963">
      <c r="C963" s="13"/>
      <c r="G963" s="13"/>
    </row>
    <row r="964">
      <c r="C964" s="13"/>
      <c r="G964" s="13"/>
    </row>
    <row r="965">
      <c r="C965" s="13"/>
      <c r="G965" s="13"/>
    </row>
    <row r="966">
      <c r="C966" s="13"/>
      <c r="G966" s="13"/>
    </row>
    <row r="967">
      <c r="C967" s="13"/>
      <c r="G967" s="13"/>
    </row>
    <row r="968">
      <c r="C968" s="13"/>
      <c r="G968" s="13"/>
    </row>
    <row r="969">
      <c r="C969" s="13"/>
      <c r="G969" s="13"/>
    </row>
    <row r="970">
      <c r="C970" s="13"/>
      <c r="G970" s="13"/>
    </row>
    <row r="971">
      <c r="C971" s="13"/>
      <c r="G971" s="13"/>
    </row>
    <row r="972">
      <c r="C972" s="13"/>
      <c r="G972" s="13"/>
    </row>
    <row r="973">
      <c r="C973" s="13"/>
      <c r="G973" s="13"/>
    </row>
    <row r="974">
      <c r="C974" s="13"/>
      <c r="G974" s="13"/>
    </row>
    <row r="975">
      <c r="C975" s="13"/>
      <c r="G975" s="13"/>
    </row>
    <row r="976">
      <c r="C976" s="13"/>
      <c r="G976" s="13"/>
    </row>
    <row r="977">
      <c r="C977" s="13"/>
      <c r="G977" s="13"/>
    </row>
    <row r="978">
      <c r="C978" s="13"/>
      <c r="G978" s="13"/>
    </row>
    <row r="979">
      <c r="C979" s="13"/>
      <c r="G979" s="13"/>
    </row>
    <row r="980">
      <c r="C980" s="13"/>
      <c r="G980" s="13"/>
    </row>
    <row r="981">
      <c r="C981" s="13"/>
      <c r="G981" s="13"/>
    </row>
    <row r="982">
      <c r="C982" s="13"/>
      <c r="G982" s="13"/>
    </row>
    <row r="983">
      <c r="C983" s="13"/>
      <c r="G983" s="13"/>
    </row>
    <row r="984">
      <c r="C984" s="13"/>
      <c r="G984" s="13"/>
    </row>
    <row r="985">
      <c r="C985" s="13"/>
      <c r="G985" s="13"/>
    </row>
    <row r="986">
      <c r="C986" s="13"/>
      <c r="G986" s="13"/>
    </row>
    <row r="987">
      <c r="C987" s="13"/>
      <c r="G987" s="13"/>
    </row>
    <row r="988">
      <c r="C988" s="13"/>
      <c r="G988" s="13"/>
    </row>
    <row r="989">
      <c r="C989" s="13"/>
      <c r="G989" s="13"/>
    </row>
    <row r="990">
      <c r="C990" s="13"/>
      <c r="G990" s="13"/>
    </row>
    <row r="991">
      <c r="C991" s="13"/>
      <c r="G991" s="13"/>
    </row>
    <row r="992">
      <c r="C992" s="13"/>
      <c r="G992" s="13"/>
    </row>
    <row r="993">
      <c r="C993" s="13"/>
      <c r="G993" s="13"/>
    </row>
    <row r="994">
      <c r="C994" s="13"/>
      <c r="G994" s="13"/>
    </row>
    <row r="995">
      <c r="C995" s="13"/>
      <c r="G995" s="13"/>
    </row>
    <row r="996">
      <c r="C996" s="13"/>
      <c r="G996" s="13"/>
    </row>
    <row r="997">
      <c r="C997" s="13"/>
      <c r="G997" s="13"/>
    </row>
    <row r="998">
      <c r="C998" s="13"/>
      <c r="G998" s="13"/>
    </row>
    <row r="999">
      <c r="C999" s="13"/>
      <c r="G999" s="13"/>
    </row>
    <row r="1000">
      <c r="C1000" s="13"/>
      <c r="G1000" s="13"/>
    </row>
  </sheetData>
  <autoFilter ref="$A$1:$Z$2"/>
  <dataValidations>
    <dataValidation type="list" allowBlank="1" showErrorMessage="1" sqref="D2:E100">
      <formula1>"High,Medium,Low"</formula1>
    </dataValidation>
    <dataValidation type="list" allowBlank="1" showErrorMessage="1" sqref="H2:H100">
      <formula1>"Open,Monitoring,Mitigated,Closed"</formula1>
    </dataValidation>
    <dataValidation type="list" allowBlank="1" showErrorMessage="1" sqref="B2:B100">
      <formula1>"Risk,Assumption,Issue,Dependency"</formula1>
    </dataValidation>
  </dataValidations>
  <drawing r:id="rId1"/>
</worksheet>
</file>